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جدول الكميات" sheetId="1" state="visible" r:id="rId3"/>
  </sheets>
  <definedNames>
    <definedName function="false" hidden="false" localSheetId="0" name="_xlnm.Print_Titles" vbProcedure="false">'جدول الكميات'!$6:$7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3" authorId="0">
      <text>
        <r>
          <rPr>
            <sz val="10"/>
            <rFont val="FreeSans"/>
            <family val="2"/>
          </rPr>
          <t xml:space="preserve">مدخل: الإجمالي بدون </t>
        </r>
        <r>
          <rPr>
            <sz val="10"/>
            <rFont val="Arial"/>
            <family val="2"/>
          </rPr>
          <t xml:space="preserve">VAT </t>
        </r>
        <r>
          <rPr>
            <sz val="10"/>
            <rFont val="FreeSans"/>
            <family val="2"/>
          </rPr>
          <t xml:space="preserve">كما ورد في جدول الكميات الأصلي المرسل من المستخدم</t>
        </r>
        <r>
          <rPr>
            <sz val="10"/>
            <rFont val="Arial"/>
            <family val="2"/>
          </rPr>
          <t xml:space="preserve">.</t>
        </r>
      </text>
    </comment>
    <comment ref="E4" authorId="0">
      <text>
        <r>
          <rPr>
            <sz val="10"/>
            <rFont val="FreeSans"/>
            <family val="2"/>
          </rPr>
          <t xml:space="preserve">مدخل: نسبة ضريبة القيمة المضافة في المملكة العربية السعودية (</t>
        </r>
        <r>
          <rPr>
            <sz val="10"/>
            <rFont val="Arial"/>
            <family val="2"/>
          </rPr>
          <t xml:space="preserve">15%).</t>
        </r>
      </text>
    </comment>
  </commentList>
</comments>
</file>

<file path=xl/sharedStrings.xml><?xml version="1.0" encoding="utf-8"?>
<sst xmlns="http://schemas.openxmlformats.org/spreadsheetml/2006/main" count="151" uniqueCount="118">
  <si>
    <t xml:space="preserve">جدول الكميات التفصيلي</t>
  </si>
  <si>
    <t xml:space="preserve">إجمالي قيمة العقد بدون ضريبة القيمة المضافة (ريال)</t>
  </si>
  <si>
    <t xml:space="preserve">دليل الألوان:</t>
  </si>
  <si>
    <t xml:space="preserve">مدخلات قابلة للتعديل</t>
  </si>
  <si>
    <t xml:space="preserve">نسبة ضريبة القيمة المضافة (VAT)</t>
  </si>
  <si>
    <t xml:space="preserve">معادلات (لا تُعدَّل)</t>
  </si>
  <si>
    <t xml:space="preserve">م</t>
  </si>
  <si>
    <t xml:space="preserve">تفاصيل المخرجات الفرعية</t>
  </si>
  <si>
    <t xml:space="preserve">المخرج الرئيسي (جدول الكميات)</t>
  </si>
  <si>
    <t xml:space="preserve">رقم المخرج الفرعي</t>
  </si>
  <si>
    <t xml:space="preserve">المخرج الفرعي</t>
  </si>
  <si>
    <t xml:space="preserve">الوحدة</t>
  </si>
  <si>
    <t xml:space="preserve">العدد</t>
  </si>
  <si>
    <t xml:space="preserve">نسبة التوزيع داخل المخرج الرئيسي</t>
  </si>
  <si>
    <t xml:space="preserve">سعر المخرج الفرعي بدون VAT</t>
  </si>
  <si>
    <t xml:space="preserve">سعر المخرج الفرعي مع VAT</t>
  </si>
  <si>
    <t xml:space="preserve">المخرج الرئيسي</t>
  </si>
  <si>
    <t xml:space="preserve">% لقيمة البند المالية</t>
  </si>
  <si>
    <t xml:space="preserve">السعر الإجمالي بدون VAT</t>
  </si>
  <si>
    <t xml:space="preserve">الإجمالي مع VAT</t>
  </si>
  <si>
    <t xml:space="preserve">السعر كتابةً (بالريال السعودي)</t>
  </si>
  <si>
    <t xml:space="preserve">تحقق التوزيع</t>
  </si>
  <si>
    <t xml:space="preserve">1.1</t>
  </si>
  <si>
    <t xml:space="preserve">خطة وميثاق المشروع</t>
  </si>
  <si>
    <t xml:space="preserve">وثيقة</t>
  </si>
  <si>
    <t xml:space="preserve">حزمة تأسيس المشروع</t>
  </si>
  <si>
    <t xml:space="preserve">تسعة وخمسون ألفاً وتسعمائة وأربعة عشر ريالاً سعودياً وسبع وخمسون هللة فقط لا غير</t>
  </si>
  <si>
    <t xml:space="preserve">1.2</t>
  </si>
  <si>
    <t xml:space="preserve">خطة إدارة المخاطر</t>
  </si>
  <si>
    <t xml:space="preserve">1.3</t>
  </si>
  <si>
    <t xml:space="preserve">الجدول الزمني للمهام</t>
  </si>
  <si>
    <t xml:space="preserve">1.4</t>
  </si>
  <si>
    <t xml:space="preserve">خطة إدارة الجودة</t>
  </si>
  <si>
    <t xml:space="preserve">2.1</t>
  </si>
  <si>
    <t xml:space="preserve">نظام المتابعة والجدول الموحد ولوحة المؤشرات</t>
  </si>
  <si>
    <t xml:space="preserve">لوحة مؤشرات</t>
  </si>
  <si>
    <t xml:space="preserve">منظومة إدارة المشروع والحوكمة</t>
  </si>
  <si>
    <t xml:space="preserve">واحد وسبعون ألفاً وثمانمائة وسبعة وتسعون ريالاً سعودياً وتسع وأربعون هللة فقط لا غير</t>
  </si>
  <si>
    <t xml:space="preserve">2.2</t>
  </si>
  <si>
    <t xml:space="preserve">مصفوفة الحوكمة والقرارات وخريطة المعالم</t>
  </si>
  <si>
    <t xml:space="preserve">3.1</t>
  </si>
  <si>
    <t xml:space="preserve">تقارير التقدّم ومحاضر الاجتماعات</t>
  </si>
  <si>
    <t xml:space="preserve">تقارير دورية</t>
  </si>
  <si>
    <t xml:space="preserve">تقارير التقدم</t>
  </si>
  <si>
    <t xml:space="preserve">خمسة وثلاثون ألفاً وتسعمائة وثمانية وأربعون ريالاً سعودياً وأربع وسبعون هللة فقط لا غير</t>
  </si>
  <si>
    <t xml:space="preserve">4.1</t>
  </si>
  <si>
    <t xml:space="preserve">البرنامج الفني المزمّن والسيناريو التشغيلي</t>
  </si>
  <si>
    <t xml:space="preserve">برنامج الملتقى الفني ومحتواه</t>
  </si>
  <si>
    <t xml:space="preserve">مائة وسبعة وستون ألفاً وسبعمائة وستون ريالاً سعودياً وإحدى وثمانون هللة فقط لا غير</t>
  </si>
  <si>
    <t xml:space="preserve">4.2</t>
  </si>
  <si>
    <t xml:space="preserve">الجلسات الحوارية</t>
  </si>
  <si>
    <t xml:space="preserve">4.3</t>
  </si>
  <si>
    <t xml:space="preserve">الورش التفاعلية والنشاط المصاحب</t>
  </si>
  <si>
    <t xml:space="preserve">4.4</t>
  </si>
  <si>
    <t xml:space="preserve">تهيئة المتحدثين وملفاتهم وبروفاتهم</t>
  </si>
  <si>
    <t xml:space="preserve">5.1</t>
  </si>
  <si>
    <t xml:space="preserve">حزمة الهوية وقوالب المواد</t>
  </si>
  <si>
    <t xml:space="preserve">حزمة</t>
  </si>
  <si>
    <t xml:space="preserve">ثلاثة وعشرون ألفاً وتسعمائة وخمسة وستون ريالاً سعودياً وثلاث وثمانون هللة فقط لا غير</t>
  </si>
  <si>
    <t xml:space="preserve">6.1</t>
  </si>
  <si>
    <t xml:space="preserve">مؤشرات النجاح ومستهدفاتها وأدوات قياسها</t>
  </si>
  <si>
    <t xml:space="preserve">إطار مؤشرات النجاح وقياس أدائها</t>
  </si>
  <si>
    <t xml:space="preserve">مائة وتسعة عشر ألفاً وثمانمائة وتسعة وعشرون ريالاً سعودياً وخمس عشرة هللة فقط لا غير</t>
  </si>
  <si>
    <t xml:space="preserve">7.1</t>
  </si>
  <si>
    <t xml:space="preserve">قاعدة بيانات الشركات والخبراء والمدعوين</t>
  </si>
  <si>
    <t xml:space="preserve">قاعدة بيانات</t>
  </si>
  <si>
    <t xml:space="preserve">قاعدة بيانات المشاركين</t>
  </si>
  <si>
    <t xml:space="preserve">8.1</t>
  </si>
  <si>
    <t xml:space="preserve">نموذج التسجيل الإلكتروني وتشغيله</t>
  </si>
  <si>
    <t xml:space="preserve">نموذج التسجيل</t>
  </si>
  <si>
    <t xml:space="preserve">التسجيل والاستقبال</t>
  </si>
  <si>
    <t xml:space="preserve">8.2</t>
  </si>
  <si>
    <t xml:space="preserve">بطاقات المشاركين وتشغيل الاستقبال</t>
  </si>
  <si>
    <t xml:space="preserve">بطاقة</t>
  </si>
  <si>
    <t xml:space="preserve">180 - 220</t>
  </si>
  <si>
    <t xml:space="preserve">9.1</t>
  </si>
  <si>
    <t xml:space="preserve">الخطة الإعلامية التوعوية</t>
  </si>
  <si>
    <t xml:space="preserve">تخطيط الحملة الإعلامية</t>
  </si>
  <si>
    <t xml:space="preserve">ثلاثة وثمانون ألفاً وثمانمائة وثمانون ريالاً سعودياً وأربعون هللة فقط لا غير</t>
  </si>
  <si>
    <t xml:space="preserve">10.1</t>
  </si>
  <si>
    <t xml:space="preserve">المرحلة الأولى (الفيديوهات)</t>
  </si>
  <si>
    <t xml:space="preserve">فيديوهات</t>
  </si>
  <si>
    <t xml:space="preserve">تنفيذ الحملة الإعلامية</t>
  </si>
  <si>
    <t xml:space="preserve">مواد إعلامية</t>
  </si>
  <si>
    <t xml:space="preserve">مائة وتسعة وسبعون ألفاً وسبعمائة وثلاثة وأربعون ريالاً سعودياً واثنتان وسبعون هللة فقط لا غير</t>
  </si>
  <si>
    <t xml:space="preserve">10.2</t>
  </si>
  <si>
    <t xml:space="preserve">المرحلة الأولى (الإنفوجراف)</t>
  </si>
  <si>
    <t xml:space="preserve">إنفوجراف</t>
  </si>
  <si>
    <t xml:space="preserve">10.3</t>
  </si>
  <si>
    <t xml:space="preserve">المرحلة الثانية</t>
  </si>
  <si>
    <t xml:space="preserve">11.1</t>
  </si>
  <si>
    <t xml:space="preserve">ضوابط الهوية وتجربة الزائر للمعرض، ونماذج مطابقة مخرجات المورد</t>
  </si>
  <si>
    <t xml:space="preserve">الجاهزية التشغيلية وتنفيذ يوم الملتقى</t>
  </si>
  <si>
    <t xml:space="preserve">دعم تشغيلي</t>
  </si>
  <si>
    <t xml:space="preserve">مائتان وتسعة وثلاثون ألفاً وستمائة وثمانية وخمسون ريالاً سعودياً وثلاثون هللة فقط لا غير</t>
  </si>
  <si>
    <t xml:space="preserve">11.2</t>
  </si>
  <si>
    <t xml:space="preserve">إدارة الأعمال المؤقّرة والمورد الموجّه</t>
  </si>
  <si>
    <t xml:space="preserve">11.3</t>
  </si>
  <si>
    <t xml:space="preserve">التغطية الإعلامية يوم الملتقى</t>
  </si>
  <si>
    <t xml:space="preserve">تغطية بصرية</t>
  </si>
  <si>
    <t xml:space="preserve">11.4</t>
  </si>
  <si>
    <t xml:space="preserve">حزمة الإنتاج والمطبوعات</t>
  </si>
  <si>
    <t xml:space="preserve">12.1</t>
  </si>
  <si>
    <t xml:space="preserve">التقرير الختامي والتوثيق</t>
  </si>
  <si>
    <t xml:space="preserve">الإغلاق وقياس الأثر</t>
  </si>
  <si>
    <t xml:space="preserve">تقرير ختامي</t>
  </si>
  <si>
    <t xml:space="preserve">12.2</t>
  </si>
  <si>
    <t xml:space="preserve">استبانة قياس الرضا والأثر</t>
  </si>
  <si>
    <t xml:space="preserve">12.3</t>
  </si>
  <si>
    <t xml:space="preserve">الأرشفة والإغلاق</t>
  </si>
  <si>
    <t xml:space="preserve">الإجمالي</t>
  </si>
  <si>
    <t xml:space="preserve">مليون ومائة وثمانية وتسعون ألفاً ومائتان وواحد وتسعون ريالاً سعودياً وخمسون هللة فقط لا غير</t>
  </si>
  <si>
    <t xml:space="preserve">ملاحظات:</t>
  </si>
  <si>
    <t xml:space="preserve">1) سعر المخرج الرئيسي بدون VAT = إجمالي قيمة العقد (E3) × نسبة البند (العمود L) مقرّباً لهللتين؛ والإجمالي مع الضريبة = السعر + الضريبة، والضريبة = السعر × نسبة الضريبة (E4) مقرّبة لهللتين.</t>
  </si>
  <si>
    <t xml:space="preserve">2) سعر المخرج الفرعي = سعر المخرج الرئيسي × نسبة التوزيع (العمود F). النسب الافتراضية موزّعة بالتساوي بين المخرجات الفرعية لعدم ورود تسعير تفصيلي لها؛ عدّلها حسب الحاجة على أن يكون مجموعها لكل مخرج 100%.</t>
  </si>
  <si>
    <t xml:space="preserve">3) عمود (تحقق التوزيع) يتأكد أن نسب التوزيع مجموعها 100% وأن مجموع أسعار المخرجات الفرعية يساوي سعر المخرج الرئيسي.</t>
  </si>
  <si>
    <t xml:space="preserve">4) عمود (السعر كتابةً) نص ثابت منقول من الجدول الأصلي؛ إذا غيّرت النسب أو قيمة العقد فيلزم تحديثه يدوياً.</t>
  </si>
  <si>
    <t xml:space="preserve">5) عدد بطاقات المشاركين (180 - 220) نطاق تقديري كما ورد في المصدر.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</si>
</sst>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SAR &quot;#,##0.00;&quot;(SAR &quot;#,##0.00\);\-"/>
    <numFmt numFmtId="166" formatCode="0.00%;\(0.00%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A4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2A44"/>
        <bgColor rgb="FF003366"/>
      </patternFill>
    </fill>
    <fill>
      <patternFill patternType="solid">
        <fgColor rgb="FF2E7D6B"/>
        <bgColor rgb="FF008080"/>
      </patternFill>
    </fill>
    <fill>
      <patternFill patternType="solid">
        <fgColor rgb="FFF2F4F7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A6A6A6"/>
      </left>
      <right/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5" fillId="5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5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00000"/>
        <sz val="1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2E7D6B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42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40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8" min="7" style="0" width="17"/>
    <col collapsed="false" customWidth="true" hidden="false" outlineLevel="0" max="9" min="9" style="0" width="30"/>
    <col collapsed="false" customWidth="true" hidden="false" outlineLevel="0" max="10" min="10" style="0" width="13"/>
    <col collapsed="false" customWidth="true" hidden="false" outlineLevel="0" max="11" min="11" style="0" width="8"/>
    <col collapsed="false" customWidth="true" hidden="false" outlineLevel="0" max="12" min="12" style="0" width="11"/>
    <col collapsed="false" customWidth="true" hidden="false" outlineLevel="0" max="13" min="13" style="0" width="17"/>
    <col collapsed="false" customWidth="true" hidden="false" outlineLevel="0" max="14" min="14" style="0" width="15"/>
    <col collapsed="false" customWidth="true" hidden="false" outlineLevel="0" max="15" min="15" style="0" width="17"/>
    <col collapsed="false" customWidth="true" hidden="false" outlineLevel="0" max="16" min="16" style="0" width="46"/>
    <col collapsed="false" customWidth="true" hidden="false" outlineLevel="0" max="17" min="17" style="0" width="13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customFormat="false" ht="15" hidden="false" customHeight="true" outlineLevel="0" collapsed="false">
      <c r="B3" s="2" t="s">
        <v>1</v>
      </c>
      <c r="C3" s="2"/>
      <c r="D3" s="2"/>
      <c r="E3" s="3" t="n">
        <v>1041992.61</v>
      </c>
      <c r="F3" s="3"/>
      <c r="G3" s="4" t="s">
        <v>2</v>
      </c>
      <c r="H3" s="5" t="s">
        <v>3</v>
      </c>
      <c r="I3" s="5"/>
    </row>
    <row r="4" customFormat="false" ht="15" hidden="false" customHeight="true" outlineLevel="0" collapsed="false">
      <c r="B4" s="2" t="s">
        <v>4</v>
      </c>
      <c r="C4" s="2"/>
      <c r="D4" s="2"/>
      <c r="E4" s="6" t="n">
        <v>0.15</v>
      </c>
      <c r="F4" s="6"/>
      <c r="H4" s="7" t="s">
        <v>5</v>
      </c>
      <c r="I4" s="7"/>
    </row>
    <row r="6" customFormat="false" ht="15" hidden="false" customHeight="true" outlineLevel="0" collapsed="false">
      <c r="A6" s="8" t="s">
        <v>6</v>
      </c>
      <c r="B6" s="9" t="s">
        <v>7</v>
      </c>
      <c r="C6" s="9"/>
      <c r="D6" s="9"/>
      <c r="E6" s="9"/>
      <c r="F6" s="9"/>
      <c r="G6" s="9"/>
      <c r="H6" s="9"/>
      <c r="I6" s="8" t="s">
        <v>8</v>
      </c>
      <c r="J6" s="8"/>
      <c r="K6" s="8"/>
      <c r="L6" s="8"/>
      <c r="M6" s="8"/>
      <c r="N6" s="8"/>
      <c r="O6" s="8"/>
      <c r="P6" s="8"/>
      <c r="Q6" s="8"/>
    </row>
    <row r="7" customFormat="false" ht="42" hidden="false" customHeight="true" outlineLevel="0" collapsed="false">
      <c r="A7" s="8"/>
      <c r="B7" s="9" t="s">
        <v>9</v>
      </c>
      <c r="C7" s="9" t="s">
        <v>10</v>
      </c>
      <c r="D7" s="9" t="s">
        <v>11</v>
      </c>
      <c r="E7" s="9" t="s">
        <v>12</v>
      </c>
      <c r="F7" s="9" t="s">
        <v>13</v>
      </c>
      <c r="G7" s="9" t="s">
        <v>14</v>
      </c>
      <c r="H7" s="9" t="s">
        <v>15</v>
      </c>
      <c r="I7" s="8" t="s">
        <v>16</v>
      </c>
      <c r="J7" s="8" t="s">
        <v>11</v>
      </c>
      <c r="K7" s="8" t="s">
        <v>12</v>
      </c>
      <c r="L7" s="8" t="s">
        <v>17</v>
      </c>
      <c r="M7" s="8" t="s">
        <v>18</v>
      </c>
      <c r="N7" s="8" t="str">
        <f aca="false">"VAT ("&amp;TEXT($E$4,"0%")&amp;")"</f>
        <v>VAT (15%)</v>
      </c>
      <c r="O7" s="8" t="s">
        <v>19</v>
      </c>
      <c r="P7" s="8" t="s">
        <v>20</v>
      </c>
      <c r="Q7" s="8" t="s">
        <v>21</v>
      </c>
    </row>
    <row r="8" customFormat="false" ht="33.75" hidden="false" customHeight="true" outlineLevel="0" collapsed="false">
      <c r="A8" s="10" t="n">
        <v>1</v>
      </c>
      <c r="B8" s="10" t="s">
        <v>22</v>
      </c>
      <c r="C8" s="11" t="s">
        <v>23</v>
      </c>
      <c r="D8" s="10" t="s">
        <v>24</v>
      </c>
      <c r="E8" s="10" t="n">
        <v>1</v>
      </c>
      <c r="F8" s="6" t="n">
        <f aca="false">1/4</f>
        <v>0.25</v>
      </c>
      <c r="G8" s="12" t="n">
        <f aca="false">$M$8*F8</f>
        <v>13024.9075</v>
      </c>
      <c r="H8" s="12" t="n">
        <f aca="false">G8*(1+$E$4)</f>
        <v>14978.643625</v>
      </c>
      <c r="I8" s="13" t="s">
        <v>25</v>
      </c>
      <c r="J8" s="14" t="s">
        <v>24</v>
      </c>
      <c r="K8" s="14" t="n">
        <v>1</v>
      </c>
      <c r="L8" s="6" t="n">
        <v>0.05</v>
      </c>
      <c r="M8" s="15" t="n">
        <f aca="false">ROUND($E$3*L8,2)</f>
        <v>52099.63</v>
      </c>
      <c r="N8" s="15" t="n">
        <f aca="false">ROUND(M8*$E$4,2)</f>
        <v>7814.94</v>
      </c>
      <c r="O8" s="15" t="n">
        <f aca="false">M8+N8</f>
        <v>59914.57</v>
      </c>
      <c r="P8" s="16" t="s">
        <v>26</v>
      </c>
      <c r="Q8" s="14" t="str">
        <f aca="false">IF(AND(ABS(SUM(F8:F11)-1)&lt;0.000001,ABS(SUM(G8:G11)-M8)&lt;0.005),"✓ مطابق","✗ راجع النسب")</f>
        <v>✓ مطابق</v>
      </c>
    </row>
    <row r="9" customFormat="false" ht="33.75" hidden="false" customHeight="true" outlineLevel="0" collapsed="false">
      <c r="A9" s="10"/>
      <c r="B9" s="10" t="s">
        <v>27</v>
      </c>
      <c r="C9" s="11" t="s">
        <v>28</v>
      </c>
      <c r="D9" s="10" t="s">
        <v>24</v>
      </c>
      <c r="E9" s="10" t="n">
        <v>1</v>
      </c>
      <c r="F9" s="6" t="n">
        <f aca="false">1/4</f>
        <v>0.25</v>
      </c>
      <c r="G9" s="12" t="n">
        <f aca="false">$M$8*F9</f>
        <v>13024.9075</v>
      </c>
      <c r="H9" s="12" t="n">
        <f aca="false">G9*(1+$E$4)</f>
        <v>14978.643625</v>
      </c>
      <c r="I9" s="13"/>
      <c r="J9" s="14"/>
      <c r="K9" s="14"/>
      <c r="L9" s="14"/>
      <c r="M9" s="14"/>
      <c r="N9" s="14"/>
      <c r="O9" s="14"/>
      <c r="P9" s="16"/>
      <c r="Q9" s="14"/>
    </row>
    <row r="10" customFormat="false" ht="33.75" hidden="false" customHeight="true" outlineLevel="0" collapsed="false">
      <c r="A10" s="10"/>
      <c r="B10" s="10" t="s">
        <v>29</v>
      </c>
      <c r="C10" s="11" t="s">
        <v>30</v>
      </c>
      <c r="D10" s="10" t="s">
        <v>24</v>
      </c>
      <c r="E10" s="10" t="n">
        <v>1</v>
      </c>
      <c r="F10" s="6" t="n">
        <f aca="false">1/4</f>
        <v>0.25</v>
      </c>
      <c r="G10" s="12" t="n">
        <f aca="false">$M$8*F10</f>
        <v>13024.9075</v>
      </c>
      <c r="H10" s="12" t="n">
        <f aca="false">G10*(1+$E$4)</f>
        <v>14978.643625</v>
      </c>
      <c r="I10" s="13"/>
      <c r="J10" s="14"/>
      <c r="K10" s="14"/>
      <c r="L10" s="14"/>
      <c r="M10" s="14"/>
      <c r="N10" s="14"/>
      <c r="O10" s="14"/>
      <c r="P10" s="16"/>
      <c r="Q10" s="14"/>
    </row>
    <row r="11" customFormat="false" ht="33.75" hidden="false" customHeight="true" outlineLevel="0" collapsed="false">
      <c r="A11" s="10"/>
      <c r="B11" s="10" t="s">
        <v>31</v>
      </c>
      <c r="C11" s="11" t="s">
        <v>32</v>
      </c>
      <c r="D11" s="10" t="s">
        <v>24</v>
      </c>
      <c r="E11" s="10" t="n">
        <v>1</v>
      </c>
      <c r="F11" s="6" t="n">
        <f aca="false">1/4</f>
        <v>0.25</v>
      </c>
      <c r="G11" s="12" t="n">
        <f aca="false">$M$8*F11</f>
        <v>13024.9075</v>
      </c>
      <c r="H11" s="12" t="n">
        <f aca="false">G11*(1+$E$4)</f>
        <v>14978.643625</v>
      </c>
      <c r="I11" s="13"/>
      <c r="J11" s="14"/>
      <c r="K11" s="14"/>
      <c r="L11" s="14"/>
      <c r="M11" s="14"/>
      <c r="N11" s="14"/>
      <c r="O11" s="14"/>
      <c r="P11" s="16"/>
      <c r="Q11" s="14"/>
    </row>
    <row r="12" customFormat="false" ht="33.75" hidden="false" customHeight="true" outlineLevel="0" collapsed="false">
      <c r="A12" s="10" t="n">
        <v>2</v>
      </c>
      <c r="B12" s="10" t="s">
        <v>33</v>
      </c>
      <c r="C12" s="11" t="s">
        <v>34</v>
      </c>
      <c r="D12" s="10" t="s">
        <v>35</v>
      </c>
      <c r="E12" s="10" t="n">
        <v>1</v>
      </c>
      <c r="F12" s="6" t="n">
        <f aca="false">1/2</f>
        <v>0.5</v>
      </c>
      <c r="G12" s="12" t="n">
        <f aca="false">$M$12*F12</f>
        <v>31259.78</v>
      </c>
      <c r="H12" s="12" t="n">
        <f aca="false">G12*(1+$E$4)</f>
        <v>35948.747</v>
      </c>
      <c r="I12" s="13" t="s">
        <v>36</v>
      </c>
      <c r="J12" s="14" t="s">
        <v>35</v>
      </c>
      <c r="K12" s="14" t="n">
        <v>1</v>
      </c>
      <c r="L12" s="6" t="n">
        <v>0.06</v>
      </c>
      <c r="M12" s="15" t="n">
        <f aca="false">ROUND($E$3*L12,2)</f>
        <v>62519.56</v>
      </c>
      <c r="N12" s="15" t="n">
        <f aca="false">ROUND(M12*$E$4,2)</f>
        <v>9377.93</v>
      </c>
      <c r="O12" s="15" t="n">
        <f aca="false">M12+N12</f>
        <v>71897.49</v>
      </c>
      <c r="P12" s="16" t="s">
        <v>37</v>
      </c>
      <c r="Q12" s="14" t="str">
        <f aca="false">IF(AND(ABS(SUM(F12:F13)-1)&lt;0.000001,ABS(SUM(G12:G13)-M12)&lt;0.005),"✓ مطابق","✗ راجع النسب")</f>
        <v>✓ مطابق</v>
      </c>
    </row>
    <row r="13" customFormat="false" ht="33.75" hidden="false" customHeight="true" outlineLevel="0" collapsed="false">
      <c r="A13" s="10"/>
      <c r="B13" s="10" t="s">
        <v>38</v>
      </c>
      <c r="C13" s="11" t="s">
        <v>39</v>
      </c>
      <c r="D13" s="10" t="s">
        <v>35</v>
      </c>
      <c r="E13" s="10" t="n">
        <v>1</v>
      </c>
      <c r="F13" s="6" t="n">
        <f aca="false">1/2</f>
        <v>0.5</v>
      </c>
      <c r="G13" s="12" t="n">
        <f aca="false">$M$12*F13</f>
        <v>31259.78</v>
      </c>
      <c r="H13" s="12" t="n">
        <f aca="false">G13*(1+$E$4)</f>
        <v>35948.747</v>
      </c>
      <c r="I13" s="13"/>
      <c r="J13" s="14"/>
      <c r="K13" s="14"/>
      <c r="L13" s="14"/>
      <c r="M13" s="14"/>
      <c r="N13" s="14"/>
      <c r="O13" s="14"/>
      <c r="P13" s="16"/>
      <c r="Q13" s="14"/>
    </row>
    <row r="14" customFormat="false" ht="33.75" hidden="false" customHeight="true" outlineLevel="0" collapsed="false">
      <c r="A14" s="10" t="n">
        <v>3</v>
      </c>
      <c r="B14" s="10" t="s">
        <v>40</v>
      </c>
      <c r="C14" s="11" t="s">
        <v>41</v>
      </c>
      <c r="D14" s="10" t="s">
        <v>42</v>
      </c>
      <c r="E14" s="10" t="n">
        <v>6</v>
      </c>
      <c r="F14" s="6" t="n">
        <v>1</v>
      </c>
      <c r="G14" s="12" t="n">
        <f aca="false">$M$14*F14</f>
        <v>31259.78</v>
      </c>
      <c r="H14" s="12" t="n">
        <f aca="false">G14*(1+$E$4)</f>
        <v>35948.747</v>
      </c>
      <c r="I14" s="13" t="s">
        <v>43</v>
      </c>
      <c r="J14" s="14" t="s">
        <v>42</v>
      </c>
      <c r="K14" s="14" t="n">
        <v>6</v>
      </c>
      <c r="L14" s="6" t="n">
        <v>0.03</v>
      </c>
      <c r="M14" s="15" t="n">
        <f aca="false">ROUND($E$3*L14,2)</f>
        <v>31259.78</v>
      </c>
      <c r="N14" s="15" t="n">
        <f aca="false">ROUND(M14*$E$4,2)</f>
        <v>4688.97</v>
      </c>
      <c r="O14" s="15" t="n">
        <f aca="false">M14+N14</f>
        <v>35948.75</v>
      </c>
      <c r="P14" s="16" t="s">
        <v>44</v>
      </c>
      <c r="Q14" s="14" t="str">
        <f aca="false">IF(AND(ABS(SUM(F14:F14)-1)&lt;0.000001,ABS(SUM(G14:G14)-M14)&lt;0.005),"✓ مطابق","✗ راجع النسب")</f>
        <v>✓ مطابق</v>
      </c>
    </row>
    <row r="15" customFormat="false" ht="33.75" hidden="false" customHeight="true" outlineLevel="0" collapsed="false">
      <c r="A15" s="10" t="n">
        <v>4</v>
      </c>
      <c r="B15" s="10" t="s">
        <v>45</v>
      </c>
      <c r="C15" s="11" t="s">
        <v>46</v>
      </c>
      <c r="D15" s="10" t="s">
        <v>24</v>
      </c>
      <c r="E15" s="10" t="n">
        <v>1</v>
      </c>
      <c r="F15" s="6" t="n">
        <f aca="false">1/4</f>
        <v>0.25</v>
      </c>
      <c r="G15" s="12" t="n">
        <f aca="false">$M$15*F15</f>
        <v>36469.7425</v>
      </c>
      <c r="H15" s="12" t="n">
        <f aca="false">G15*(1+$E$4)</f>
        <v>41940.203875</v>
      </c>
      <c r="I15" s="13" t="s">
        <v>47</v>
      </c>
      <c r="J15" s="14" t="s">
        <v>24</v>
      </c>
      <c r="K15" s="14" t="n">
        <v>1</v>
      </c>
      <c r="L15" s="6" t="n">
        <v>0.14</v>
      </c>
      <c r="M15" s="15" t="n">
        <f aca="false">ROUND($E$3*L15,2)</f>
        <v>145878.97</v>
      </c>
      <c r="N15" s="15" t="n">
        <f aca="false">ROUND(M15*$E$4,2)</f>
        <v>21881.85</v>
      </c>
      <c r="O15" s="15" t="n">
        <f aca="false">M15+N15</f>
        <v>167760.82</v>
      </c>
      <c r="P15" s="16" t="s">
        <v>48</v>
      </c>
      <c r="Q15" s="14" t="str">
        <f aca="false">IF(AND(ABS(SUM(F15:F18)-1)&lt;0.000001,ABS(SUM(G15:G18)-M15)&lt;0.005),"✓ مطابق","✗ راجع النسب")</f>
        <v>✓ مطابق</v>
      </c>
    </row>
    <row r="16" customFormat="false" ht="33.75" hidden="false" customHeight="true" outlineLevel="0" collapsed="false">
      <c r="A16" s="10"/>
      <c r="B16" s="10" t="s">
        <v>49</v>
      </c>
      <c r="C16" s="11" t="s">
        <v>50</v>
      </c>
      <c r="D16" s="10" t="s">
        <v>24</v>
      </c>
      <c r="E16" s="10" t="n">
        <v>1</v>
      </c>
      <c r="F16" s="6" t="n">
        <f aca="false">1/4</f>
        <v>0.25</v>
      </c>
      <c r="G16" s="12" t="n">
        <f aca="false">$M$15*F16</f>
        <v>36469.7425</v>
      </c>
      <c r="H16" s="12" t="n">
        <f aca="false">G16*(1+$E$4)</f>
        <v>41940.203875</v>
      </c>
      <c r="I16" s="13"/>
      <c r="J16" s="14"/>
      <c r="K16" s="14"/>
      <c r="L16" s="14"/>
      <c r="M16" s="14"/>
      <c r="N16" s="14"/>
      <c r="O16" s="14"/>
      <c r="P16" s="16"/>
      <c r="Q16" s="14"/>
    </row>
    <row r="17" customFormat="false" ht="33.75" hidden="false" customHeight="true" outlineLevel="0" collapsed="false">
      <c r="A17" s="10"/>
      <c r="B17" s="10" t="s">
        <v>51</v>
      </c>
      <c r="C17" s="11" t="s">
        <v>52</v>
      </c>
      <c r="D17" s="10" t="s">
        <v>24</v>
      </c>
      <c r="E17" s="10" t="n">
        <v>1</v>
      </c>
      <c r="F17" s="6" t="n">
        <f aca="false">1/4</f>
        <v>0.25</v>
      </c>
      <c r="G17" s="12" t="n">
        <f aca="false">$M$15*F17</f>
        <v>36469.7425</v>
      </c>
      <c r="H17" s="12" t="n">
        <f aca="false">G17*(1+$E$4)</f>
        <v>41940.203875</v>
      </c>
      <c r="I17" s="13"/>
      <c r="J17" s="14"/>
      <c r="K17" s="14"/>
      <c r="L17" s="14"/>
      <c r="M17" s="14"/>
      <c r="N17" s="14"/>
      <c r="O17" s="14"/>
      <c r="P17" s="16"/>
      <c r="Q17" s="14"/>
    </row>
    <row r="18" customFormat="false" ht="33.75" hidden="false" customHeight="true" outlineLevel="0" collapsed="false">
      <c r="A18" s="10"/>
      <c r="B18" s="10" t="s">
        <v>53</v>
      </c>
      <c r="C18" s="11" t="s">
        <v>54</v>
      </c>
      <c r="D18" s="10" t="s">
        <v>24</v>
      </c>
      <c r="E18" s="10" t="n">
        <v>1</v>
      </c>
      <c r="F18" s="6" t="n">
        <f aca="false">1/4</f>
        <v>0.25</v>
      </c>
      <c r="G18" s="12" t="n">
        <f aca="false">$M$15*F18</f>
        <v>36469.7425</v>
      </c>
      <c r="H18" s="12" t="n">
        <f aca="false">G18*(1+$E$4)</f>
        <v>41940.203875</v>
      </c>
      <c r="I18" s="13"/>
      <c r="J18" s="14"/>
      <c r="K18" s="14"/>
      <c r="L18" s="14"/>
      <c r="M18" s="14"/>
      <c r="N18" s="14"/>
      <c r="O18" s="14"/>
      <c r="P18" s="16"/>
      <c r="Q18" s="14"/>
    </row>
    <row r="19" customFormat="false" ht="33.75" hidden="false" customHeight="true" outlineLevel="0" collapsed="false">
      <c r="A19" s="10" t="n">
        <v>5</v>
      </c>
      <c r="B19" s="10" t="s">
        <v>55</v>
      </c>
      <c r="C19" s="11" t="s">
        <v>56</v>
      </c>
      <c r="D19" s="10" t="s">
        <v>57</v>
      </c>
      <c r="E19" s="10" t="n">
        <v>1</v>
      </c>
      <c r="F19" s="6" t="n">
        <v>1</v>
      </c>
      <c r="G19" s="12" t="n">
        <f aca="false">$M$19*F19</f>
        <v>20839.85</v>
      </c>
      <c r="H19" s="12" t="n">
        <f aca="false">G19*(1+$E$4)</f>
        <v>23965.8275</v>
      </c>
      <c r="I19" s="13" t="s">
        <v>56</v>
      </c>
      <c r="J19" s="14" t="s">
        <v>57</v>
      </c>
      <c r="K19" s="14" t="n">
        <v>1</v>
      </c>
      <c r="L19" s="6" t="n">
        <v>0.02</v>
      </c>
      <c r="M19" s="15" t="n">
        <f aca="false">ROUND($E$3*L19,2)</f>
        <v>20839.85</v>
      </c>
      <c r="N19" s="15" t="n">
        <f aca="false">ROUND(M19*$E$4,2)</f>
        <v>3125.98</v>
      </c>
      <c r="O19" s="15" t="n">
        <f aca="false">M19+N19</f>
        <v>23965.83</v>
      </c>
      <c r="P19" s="16" t="s">
        <v>58</v>
      </c>
      <c r="Q19" s="14" t="str">
        <f aca="false">IF(AND(ABS(SUM(F19:F19)-1)&lt;0.000001,ABS(SUM(G19:G19)-M19)&lt;0.005),"✓ مطابق","✗ راجع النسب")</f>
        <v>✓ مطابق</v>
      </c>
    </row>
    <row r="20" customFormat="false" ht="33.75" hidden="false" customHeight="true" outlineLevel="0" collapsed="false">
      <c r="A20" s="10" t="n">
        <v>6</v>
      </c>
      <c r="B20" s="10" t="s">
        <v>59</v>
      </c>
      <c r="C20" s="11" t="s">
        <v>60</v>
      </c>
      <c r="D20" s="10" t="s">
        <v>24</v>
      </c>
      <c r="E20" s="10" t="n">
        <v>1</v>
      </c>
      <c r="F20" s="6" t="n">
        <v>1</v>
      </c>
      <c r="G20" s="12" t="n">
        <f aca="false">$M$20*F20</f>
        <v>104199.26</v>
      </c>
      <c r="H20" s="12" t="n">
        <f aca="false">G20*(1+$E$4)</f>
        <v>119829.149</v>
      </c>
      <c r="I20" s="13" t="s">
        <v>61</v>
      </c>
      <c r="J20" s="14" t="s">
        <v>24</v>
      </c>
      <c r="K20" s="14" t="n">
        <v>1</v>
      </c>
      <c r="L20" s="6" t="n">
        <v>0.1</v>
      </c>
      <c r="M20" s="15" t="n">
        <f aca="false">ROUND($E$3*L20,2)</f>
        <v>104199.26</v>
      </c>
      <c r="N20" s="15" t="n">
        <f aca="false">ROUND(M20*$E$4,2)</f>
        <v>15629.89</v>
      </c>
      <c r="O20" s="15" t="n">
        <f aca="false">M20+N20</f>
        <v>119829.15</v>
      </c>
      <c r="P20" s="16" t="s">
        <v>62</v>
      </c>
      <c r="Q20" s="14" t="str">
        <f aca="false">IF(AND(ABS(SUM(F20:F20)-1)&lt;0.000001,ABS(SUM(G20:G20)-M20)&lt;0.005),"✓ مطابق","✗ راجع النسب")</f>
        <v>✓ مطابق</v>
      </c>
    </row>
    <row r="21" customFormat="false" ht="33.75" hidden="false" customHeight="true" outlineLevel="0" collapsed="false">
      <c r="A21" s="10" t="n">
        <v>7</v>
      </c>
      <c r="B21" s="10" t="s">
        <v>63</v>
      </c>
      <c r="C21" s="11" t="s">
        <v>64</v>
      </c>
      <c r="D21" s="10" t="s">
        <v>65</v>
      </c>
      <c r="E21" s="10" t="n">
        <v>1</v>
      </c>
      <c r="F21" s="6" t="n">
        <v>1</v>
      </c>
      <c r="G21" s="12" t="n">
        <f aca="false">$M$21*F21</f>
        <v>20839.85</v>
      </c>
      <c r="H21" s="12" t="n">
        <f aca="false">G21*(1+$E$4)</f>
        <v>23965.8275</v>
      </c>
      <c r="I21" s="13" t="s">
        <v>66</v>
      </c>
      <c r="J21" s="14" t="s">
        <v>65</v>
      </c>
      <c r="K21" s="14" t="n">
        <v>1</v>
      </c>
      <c r="L21" s="6" t="n">
        <v>0.02</v>
      </c>
      <c r="M21" s="15" t="n">
        <f aca="false">ROUND($E$3*L21,2)</f>
        <v>20839.85</v>
      </c>
      <c r="N21" s="15" t="n">
        <f aca="false">ROUND(M21*$E$4,2)</f>
        <v>3125.98</v>
      </c>
      <c r="O21" s="15" t="n">
        <f aca="false">M21+N21</f>
        <v>23965.83</v>
      </c>
      <c r="P21" s="16" t="s">
        <v>58</v>
      </c>
      <c r="Q21" s="14" t="str">
        <f aca="false">IF(AND(ABS(SUM(F21:F21)-1)&lt;0.000001,ABS(SUM(G21:G21)-M21)&lt;0.005),"✓ مطابق","✗ راجع النسب")</f>
        <v>✓ مطابق</v>
      </c>
    </row>
    <row r="22" customFormat="false" ht="33.75" hidden="false" customHeight="true" outlineLevel="0" collapsed="false">
      <c r="A22" s="10" t="n">
        <v>8</v>
      </c>
      <c r="B22" s="10" t="s">
        <v>67</v>
      </c>
      <c r="C22" s="11" t="s">
        <v>68</v>
      </c>
      <c r="D22" s="10" t="s">
        <v>69</v>
      </c>
      <c r="E22" s="10" t="n">
        <v>1</v>
      </c>
      <c r="F22" s="6" t="n">
        <f aca="false">1/2</f>
        <v>0.5</v>
      </c>
      <c r="G22" s="12" t="n">
        <f aca="false">$M$22*F22</f>
        <v>52099.63</v>
      </c>
      <c r="H22" s="12" t="n">
        <f aca="false">G22*(1+$E$4)</f>
        <v>59914.5745</v>
      </c>
      <c r="I22" s="13" t="s">
        <v>70</v>
      </c>
      <c r="J22" s="14" t="s">
        <v>69</v>
      </c>
      <c r="K22" s="14" t="n">
        <v>1</v>
      </c>
      <c r="L22" s="6" t="n">
        <v>0.1</v>
      </c>
      <c r="M22" s="15" t="n">
        <f aca="false">ROUND($E$3*L22,2)</f>
        <v>104199.26</v>
      </c>
      <c r="N22" s="15" t="n">
        <f aca="false">ROUND(M22*$E$4,2)</f>
        <v>15629.89</v>
      </c>
      <c r="O22" s="15" t="n">
        <f aca="false">M22+N22</f>
        <v>119829.15</v>
      </c>
      <c r="P22" s="16" t="s">
        <v>62</v>
      </c>
      <c r="Q22" s="14" t="str">
        <f aca="false">IF(AND(ABS(SUM(F22:F23)-1)&lt;0.000001,ABS(SUM(G22:G23)-M22)&lt;0.005),"✓ مطابق","✗ راجع النسب")</f>
        <v>✓ مطابق</v>
      </c>
    </row>
    <row r="23" customFormat="false" ht="33.75" hidden="false" customHeight="true" outlineLevel="0" collapsed="false">
      <c r="A23" s="10"/>
      <c r="B23" s="10" t="s">
        <v>71</v>
      </c>
      <c r="C23" s="11" t="s">
        <v>72</v>
      </c>
      <c r="D23" s="10" t="s">
        <v>73</v>
      </c>
      <c r="E23" s="10" t="s">
        <v>74</v>
      </c>
      <c r="F23" s="6" t="n">
        <f aca="false">1/2</f>
        <v>0.5</v>
      </c>
      <c r="G23" s="12" t="n">
        <f aca="false">$M$22*F23</f>
        <v>52099.63</v>
      </c>
      <c r="H23" s="12" t="n">
        <f aca="false">G23*(1+$E$4)</f>
        <v>59914.5745</v>
      </c>
      <c r="I23" s="13"/>
      <c r="J23" s="14"/>
      <c r="K23" s="14"/>
      <c r="L23" s="14"/>
      <c r="M23" s="14"/>
      <c r="N23" s="14"/>
      <c r="O23" s="14"/>
      <c r="P23" s="16"/>
      <c r="Q23" s="14"/>
    </row>
    <row r="24" customFormat="false" ht="33.75" hidden="false" customHeight="true" outlineLevel="0" collapsed="false">
      <c r="A24" s="10" t="n">
        <v>9</v>
      </c>
      <c r="B24" s="10" t="s">
        <v>75</v>
      </c>
      <c r="C24" s="11" t="s">
        <v>76</v>
      </c>
      <c r="D24" s="10" t="s">
        <v>24</v>
      </c>
      <c r="E24" s="10" t="n">
        <v>1</v>
      </c>
      <c r="F24" s="6" t="n">
        <v>1</v>
      </c>
      <c r="G24" s="12" t="n">
        <f aca="false">$M$24*F24</f>
        <v>72939.48</v>
      </c>
      <c r="H24" s="12" t="n">
        <f aca="false">G24*(1+$E$4)</f>
        <v>83880.402</v>
      </c>
      <c r="I24" s="13" t="s">
        <v>77</v>
      </c>
      <c r="J24" s="14" t="s">
        <v>24</v>
      </c>
      <c r="K24" s="14" t="n">
        <v>1</v>
      </c>
      <c r="L24" s="6" t="n">
        <v>0.07</v>
      </c>
      <c r="M24" s="15" t="n">
        <f aca="false">ROUND($E$3*L24,2)</f>
        <v>72939.48</v>
      </c>
      <c r="N24" s="15" t="n">
        <f aca="false">ROUND(M24*$E$4,2)</f>
        <v>10940.92</v>
      </c>
      <c r="O24" s="15" t="n">
        <f aca="false">M24+N24</f>
        <v>83880.4</v>
      </c>
      <c r="P24" s="16" t="s">
        <v>78</v>
      </c>
      <c r="Q24" s="14" t="str">
        <f aca="false">IF(AND(ABS(SUM(F24:F24)-1)&lt;0.000001,ABS(SUM(G24:G24)-M24)&lt;0.005),"✓ مطابق","✗ راجع النسب")</f>
        <v>✓ مطابق</v>
      </c>
    </row>
    <row r="25" customFormat="false" ht="33.75" hidden="false" customHeight="true" outlineLevel="0" collapsed="false">
      <c r="A25" s="10" t="n">
        <v>10</v>
      </c>
      <c r="B25" s="10" t="s">
        <v>79</v>
      </c>
      <c r="C25" s="11" t="s">
        <v>80</v>
      </c>
      <c r="D25" s="10" t="s">
        <v>81</v>
      </c>
      <c r="E25" s="10" t="n">
        <v>1</v>
      </c>
      <c r="F25" s="6" t="n">
        <f aca="false">1/3</f>
        <v>0.333333333333333</v>
      </c>
      <c r="G25" s="12" t="n">
        <f aca="false">$M$25*F25</f>
        <v>52099.63</v>
      </c>
      <c r="H25" s="12" t="n">
        <f aca="false">G25*(1+$E$4)</f>
        <v>59914.5745</v>
      </c>
      <c r="I25" s="13" t="s">
        <v>82</v>
      </c>
      <c r="J25" s="14" t="s">
        <v>83</v>
      </c>
      <c r="K25" s="14" t="n">
        <v>5</v>
      </c>
      <c r="L25" s="6" t="n">
        <v>0.15</v>
      </c>
      <c r="M25" s="15" t="n">
        <f aca="false">ROUND($E$3*L25,2)</f>
        <v>156298.89</v>
      </c>
      <c r="N25" s="15" t="n">
        <f aca="false">ROUND(M25*$E$4,2)</f>
        <v>23444.83</v>
      </c>
      <c r="O25" s="15" t="n">
        <f aca="false">M25+N25</f>
        <v>179743.72</v>
      </c>
      <c r="P25" s="16" t="s">
        <v>84</v>
      </c>
      <c r="Q25" s="14" t="str">
        <f aca="false">IF(AND(ABS(SUM(F25:F27)-1)&lt;0.000001,ABS(SUM(G25:G27)-M25)&lt;0.005),"✓ مطابق","✗ راجع النسب")</f>
        <v>✓ مطابق</v>
      </c>
    </row>
    <row r="26" customFormat="false" ht="33.75" hidden="false" customHeight="true" outlineLevel="0" collapsed="false">
      <c r="A26" s="10"/>
      <c r="B26" s="10" t="s">
        <v>85</v>
      </c>
      <c r="C26" s="11" t="s">
        <v>86</v>
      </c>
      <c r="D26" s="10" t="s">
        <v>87</v>
      </c>
      <c r="E26" s="10" t="n">
        <v>3</v>
      </c>
      <c r="F26" s="6" t="n">
        <f aca="false">1/3</f>
        <v>0.333333333333333</v>
      </c>
      <c r="G26" s="12" t="n">
        <f aca="false">$M$25*F26</f>
        <v>52099.63</v>
      </c>
      <c r="H26" s="12" t="n">
        <f aca="false">G26*(1+$E$4)</f>
        <v>59914.5745</v>
      </c>
      <c r="I26" s="13"/>
      <c r="J26" s="14"/>
      <c r="K26" s="14"/>
      <c r="L26" s="14"/>
      <c r="M26" s="14"/>
      <c r="N26" s="14"/>
      <c r="O26" s="14"/>
      <c r="P26" s="16"/>
      <c r="Q26" s="14"/>
    </row>
    <row r="27" customFormat="false" ht="33.75" hidden="false" customHeight="true" outlineLevel="0" collapsed="false">
      <c r="A27" s="10"/>
      <c r="B27" s="10" t="s">
        <v>88</v>
      </c>
      <c r="C27" s="11" t="s">
        <v>89</v>
      </c>
      <c r="D27" s="10" t="s">
        <v>81</v>
      </c>
      <c r="E27" s="10" t="n">
        <v>1</v>
      </c>
      <c r="F27" s="6" t="n">
        <f aca="false">1/3</f>
        <v>0.333333333333333</v>
      </c>
      <c r="G27" s="12" t="n">
        <f aca="false">$M$25*F27</f>
        <v>52099.63</v>
      </c>
      <c r="H27" s="12" t="n">
        <f aca="false">G27*(1+$E$4)</f>
        <v>59914.5745</v>
      </c>
      <c r="I27" s="13"/>
      <c r="J27" s="14"/>
      <c r="K27" s="14"/>
      <c r="L27" s="14"/>
      <c r="M27" s="14"/>
      <c r="N27" s="14"/>
      <c r="O27" s="14"/>
      <c r="P27" s="16"/>
      <c r="Q27" s="14"/>
    </row>
    <row r="28" customFormat="false" ht="33.75" hidden="false" customHeight="true" outlineLevel="0" collapsed="false">
      <c r="A28" s="10" t="n">
        <v>11</v>
      </c>
      <c r="B28" s="10" t="s">
        <v>90</v>
      </c>
      <c r="C28" s="11" t="s">
        <v>91</v>
      </c>
      <c r="D28" s="10" t="s">
        <v>24</v>
      </c>
      <c r="E28" s="10" t="n">
        <v>1</v>
      </c>
      <c r="F28" s="6" t="n">
        <f aca="false">1/4</f>
        <v>0.25</v>
      </c>
      <c r="G28" s="12" t="n">
        <f aca="false">$M$28*F28</f>
        <v>52099.63</v>
      </c>
      <c r="H28" s="12" t="n">
        <f aca="false">G28*(1+$E$4)</f>
        <v>59914.5745</v>
      </c>
      <c r="I28" s="13" t="s">
        <v>92</v>
      </c>
      <c r="J28" s="14" t="s">
        <v>93</v>
      </c>
      <c r="K28" s="14" t="n">
        <v>1</v>
      </c>
      <c r="L28" s="6" t="n">
        <v>0.2</v>
      </c>
      <c r="M28" s="15" t="n">
        <f aca="false">ROUND($E$3*L28,2)</f>
        <v>208398.52</v>
      </c>
      <c r="N28" s="15" t="n">
        <f aca="false">ROUND(M28*$E$4,2)</f>
        <v>31259.78</v>
      </c>
      <c r="O28" s="15" t="n">
        <f aca="false">M28+N28</f>
        <v>239658.3</v>
      </c>
      <c r="P28" s="16" t="s">
        <v>94</v>
      </c>
      <c r="Q28" s="14" t="str">
        <f aca="false">IF(AND(ABS(SUM(F28:F31)-1)&lt;0.000001,ABS(SUM(G28:G31)-M28)&lt;0.005),"✓ مطابق","✗ راجع النسب")</f>
        <v>✓ مطابق</v>
      </c>
    </row>
    <row r="29" customFormat="false" ht="33.75" hidden="false" customHeight="true" outlineLevel="0" collapsed="false">
      <c r="A29" s="10"/>
      <c r="B29" s="10" t="s">
        <v>95</v>
      </c>
      <c r="C29" s="11" t="s">
        <v>96</v>
      </c>
      <c r="D29" s="10" t="s">
        <v>24</v>
      </c>
      <c r="E29" s="10" t="n">
        <v>1</v>
      </c>
      <c r="F29" s="6" t="n">
        <f aca="false">1/4</f>
        <v>0.25</v>
      </c>
      <c r="G29" s="12" t="n">
        <f aca="false">$M$28*F29</f>
        <v>52099.63</v>
      </c>
      <c r="H29" s="12" t="n">
        <f aca="false">G29*(1+$E$4)</f>
        <v>59914.5745</v>
      </c>
      <c r="I29" s="13"/>
      <c r="J29" s="14"/>
      <c r="K29" s="14"/>
      <c r="L29" s="14"/>
      <c r="M29" s="14"/>
      <c r="N29" s="14"/>
      <c r="O29" s="14"/>
      <c r="P29" s="16"/>
      <c r="Q29" s="14"/>
    </row>
    <row r="30" customFormat="false" ht="33.75" hidden="false" customHeight="true" outlineLevel="0" collapsed="false">
      <c r="A30" s="10"/>
      <c r="B30" s="10" t="s">
        <v>97</v>
      </c>
      <c r="C30" s="11" t="s">
        <v>98</v>
      </c>
      <c r="D30" s="10" t="s">
        <v>99</v>
      </c>
      <c r="E30" s="10" t="n">
        <v>1</v>
      </c>
      <c r="F30" s="6" t="n">
        <f aca="false">1/4</f>
        <v>0.25</v>
      </c>
      <c r="G30" s="12" t="n">
        <f aca="false">$M$28*F30</f>
        <v>52099.63</v>
      </c>
      <c r="H30" s="12" t="n">
        <f aca="false">G30*(1+$E$4)</f>
        <v>59914.5745</v>
      </c>
      <c r="I30" s="13"/>
      <c r="J30" s="14"/>
      <c r="K30" s="14"/>
      <c r="L30" s="14"/>
      <c r="M30" s="14"/>
      <c r="N30" s="14"/>
      <c r="O30" s="14"/>
      <c r="P30" s="16"/>
      <c r="Q30" s="14"/>
    </row>
    <row r="31" customFormat="false" ht="33.75" hidden="false" customHeight="true" outlineLevel="0" collapsed="false">
      <c r="A31" s="10"/>
      <c r="B31" s="10" t="s">
        <v>100</v>
      </c>
      <c r="C31" s="11" t="s">
        <v>101</v>
      </c>
      <c r="D31" s="10" t="s">
        <v>57</v>
      </c>
      <c r="E31" s="10" t="n">
        <v>1</v>
      </c>
      <c r="F31" s="6" t="n">
        <f aca="false">1/4</f>
        <v>0.25</v>
      </c>
      <c r="G31" s="12" t="n">
        <f aca="false">$M$28*F31</f>
        <v>52099.63</v>
      </c>
      <c r="H31" s="12" t="n">
        <f aca="false">G31*(1+$E$4)</f>
        <v>59914.5745</v>
      </c>
      <c r="I31" s="13"/>
      <c r="J31" s="14"/>
      <c r="K31" s="14"/>
      <c r="L31" s="14"/>
      <c r="M31" s="14"/>
      <c r="N31" s="14"/>
      <c r="O31" s="14"/>
      <c r="P31" s="16"/>
      <c r="Q31" s="14"/>
    </row>
    <row r="32" customFormat="false" ht="33.75" hidden="false" customHeight="true" outlineLevel="0" collapsed="false">
      <c r="A32" s="10" t="n">
        <v>12</v>
      </c>
      <c r="B32" s="10" t="s">
        <v>102</v>
      </c>
      <c r="C32" s="11" t="s">
        <v>103</v>
      </c>
      <c r="D32" s="10" t="s">
        <v>24</v>
      </c>
      <c r="E32" s="10" t="n">
        <v>1</v>
      </c>
      <c r="F32" s="6" t="n">
        <f aca="false">1/3</f>
        <v>0.333333333333333</v>
      </c>
      <c r="G32" s="12" t="n">
        <f aca="false">$M$32*F32</f>
        <v>20839.8533333333</v>
      </c>
      <c r="H32" s="12" t="n">
        <f aca="false">G32*(1+$E$4)</f>
        <v>23965.8313333333</v>
      </c>
      <c r="I32" s="13" t="s">
        <v>104</v>
      </c>
      <c r="J32" s="14" t="s">
        <v>105</v>
      </c>
      <c r="K32" s="14" t="n">
        <v>1</v>
      </c>
      <c r="L32" s="6" t="n">
        <v>0.06</v>
      </c>
      <c r="M32" s="15" t="n">
        <f aca="false">ROUND($E$3*L32,2)</f>
        <v>62519.56</v>
      </c>
      <c r="N32" s="15" t="n">
        <f aca="false">ROUND(M32*$E$4,2)</f>
        <v>9377.93</v>
      </c>
      <c r="O32" s="15" t="n">
        <f aca="false">M32+N32</f>
        <v>71897.49</v>
      </c>
      <c r="P32" s="16" t="s">
        <v>37</v>
      </c>
      <c r="Q32" s="14" t="str">
        <f aca="false">IF(AND(ABS(SUM(F32:F34)-1)&lt;0.000001,ABS(SUM(G32:G34)-M32)&lt;0.005),"✓ مطابق","✗ راجع النسب")</f>
        <v>✓ مطابق</v>
      </c>
    </row>
    <row r="33" customFormat="false" ht="33.75" hidden="false" customHeight="true" outlineLevel="0" collapsed="false">
      <c r="A33" s="10"/>
      <c r="B33" s="10" t="s">
        <v>106</v>
      </c>
      <c r="C33" s="11" t="s">
        <v>107</v>
      </c>
      <c r="D33" s="10" t="s">
        <v>24</v>
      </c>
      <c r="E33" s="10" t="n">
        <v>1</v>
      </c>
      <c r="F33" s="6" t="n">
        <f aca="false">1/3</f>
        <v>0.333333333333333</v>
      </c>
      <c r="G33" s="12" t="n">
        <f aca="false">$M$32*F33</f>
        <v>20839.8533333333</v>
      </c>
      <c r="H33" s="12" t="n">
        <f aca="false">G33*(1+$E$4)</f>
        <v>23965.8313333333</v>
      </c>
      <c r="I33" s="13"/>
      <c r="J33" s="14"/>
      <c r="K33" s="14"/>
      <c r="L33" s="14"/>
      <c r="M33" s="14"/>
      <c r="N33" s="14"/>
      <c r="O33" s="14"/>
      <c r="P33" s="16"/>
      <c r="Q33" s="14"/>
    </row>
    <row r="34" customFormat="false" ht="33.75" hidden="false" customHeight="true" outlineLevel="0" collapsed="false">
      <c r="A34" s="10"/>
      <c r="B34" s="10" t="s">
        <v>108</v>
      </c>
      <c r="C34" s="11" t="s">
        <v>109</v>
      </c>
      <c r="D34" s="10" t="s">
        <v>24</v>
      </c>
      <c r="E34" s="10" t="n">
        <v>1</v>
      </c>
      <c r="F34" s="6" t="n">
        <f aca="false">1/3</f>
        <v>0.333333333333333</v>
      </c>
      <c r="G34" s="12" t="n">
        <f aca="false">$M$32*F34</f>
        <v>20839.8533333333</v>
      </c>
      <c r="H34" s="12" t="n">
        <f aca="false">G34*(1+$E$4)</f>
        <v>23965.8313333333</v>
      </c>
      <c r="I34" s="13"/>
      <c r="J34" s="14"/>
      <c r="K34" s="14"/>
      <c r="L34" s="14"/>
      <c r="M34" s="14"/>
      <c r="N34" s="14"/>
      <c r="O34" s="14"/>
      <c r="P34" s="16"/>
      <c r="Q34" s="14"/>
    </row>
    <row r="35" customFormat="false" ht="33.75" hidden="false" customHeight="true" outlineLevel="0" collapsed="false">
      <c r="A35" s="8" t="s">
        <v>110</v>
      </c>
      <c r="B35" s="8"/>
      <c r="C35" s="8"/>
      <c r="D35" s="8"/>
      <c r="E35" s="8"/>
      <c r="F35" s="8" t="str">
        <f aca="false">COUNTIF(Q8:Q34,"✓*")&amp;" / 12 مطابق"</f>
        <v>12 / 12 مطابق</v>
      </c>
      <c r="G35" s="17" t="n">
        <f aca="false">SUM(G8:G34)</f>
        <v>1041992.61</v>
      </c>
      <c r="H35" s="17" t="n">
        <f aca="false">SUM(H8:H34)</f>
        <v>1198291.5015</v>
      </c>
      <c r="I35" s="8" t="s">
        <v>110</v>
      </c>
      <c r="J35" s="8"/>
      <c r="K35" s="8"/>
      <c r="L35" s="18" t="n">
        <f aca="false">SUM(L8:L34)</f>
        <v>1</v>
      </c>
      <c r="M35" s="17" t="n">
        <f aca="false">SUM(M8:M34)</f>
        <v>1041992.61</v>
      </c>
      <c r="N35" s="17" t="n">
        <f aca="false">SUM(N8:N34)</f>
        <v>156298.89</v>
      </c>
      <c r="O35" s="17" t="n">
        <f aca="false">SUM(O8:O34)</f>
        <v>1198291.5</v>
      </c>
      <c r="P35" s="19" t="s">
        <v>111</v>
      </c>
      <c r="Q35" s="8" t="str">
        <f aca="false">IF(AND(ABS(L35-1)&lt;0.000001,ABS(M35-$E$3)&lt;0.05),"✓ مطابق","✗ راجع")</f>
        <v>✓ مطابق</v>
      </c>
    </row>
    <row r="37" customFormat="false" ht="15" hidden="false" customHeight="true" outlineLevel="0" collapsed="false">
      <c r="A37" s="2" t="s">
        <v>112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customFormat="false" ht="15" hidden="false" customHeight="true" outlineLevel="0" collapsed="false">
      <c r="A38" s="20" t="s">
        <v>113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</row>
    <row r="39" customFormat="false" ht="15" hidden="false" customHeight="true" outlineLevel="0" collapsed="false">
      <c r="A39" s="20" t="s">
        <v>114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</row>
    <row r="40" customFormat="false" ht="15" hidden="false" customHeight="true" outlineLevel="0" collapsed="false">
      <c r="A40" s="20" t="s">
        <v>115</v>
      </c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</row>
    <row r="41" customFormat="false" ht="15" hidden="false" customHeight="true" outlineLevel="0" collapsed="false">
      <c r="A41" s="20" t="s">
        <v>116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</row>
    <row r="42" customFormat="false" ht="15" hidden="false" customHeight="true" outlineLevel="0" collapsed="false">
      <c r="A42" s="20" t="s">
        <v>117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</row>
  </sheetData>
  <mergeCells count="88">
    <mergeCell ref="A1:Q1"/>
    <mergeCell ref="B3:D3"/>
    <mergeCell ref="E3:F3"/>
    <mergeCell ref="H3:I3"/>
    <mergeCell ref="B4:D4"/>
    <mergeCell ref="E4:F4"/>
    <mergeCell ref="H4:I4"/>
    <mergeCell ref="A6:A7"/>
    <mergeCell ref="B6:H6"/>
    <mergeCell ref="I6:Q6"/>
    <mergeCell ref="A8:A11"/>
    <mergeCell ref="I8:I11"/>
    <mergeCell ref="J8:J11"/>
    <mergeCell ref="K8:K11"/>
    <mergeCell ref="L8:L11"/>
    <mergeCell ref="M8:M11"/>
    <mergeCell ref="N8:N11"/>
    <mergeCell ref="O8:O11"/>
    <mergeCell ref="P8:P11"/>
    <mergeCell ref="Q8:Q11"/>
    <mergeCell ref="A12:A13"/>
    <mergeCell ref="I12:I13"/>
    <mergeCell ref="J12:J13"/>
    <mergeCell ref="K12:K13"/>
    <mergeCell ref="L12:L13"/>
    <mergeCell ref="M12:M13"/>
    <mergeCell ref="N12:N13"/>
    <mergeCell ref="O12:O13"/>
    <mergeCell ref="P12:P13"/>
    <mergeCell ref="Q12:Q13"/>
    <mergeCell ref="A15:A18"/>
    <mergeCell ref="I15:I18"/>
    <mergeCell ref="J15:J18"/>
    <mergeCell ref="K15:K18"/>
    <mergeCell ref="L15:L18"/>
    <mergeCell ref="M15:M18"/>
    <mergeCell ref="N15:N18"/>
    <mergeCell ref="O15:O18"/>
    <mergeCell ref="P15:P18"/>
    <mergeCell ref="Q15:Q18"/>
    <mergeCell ref="A22:A23"/>
    <mergeCell ref="I22:I23"/>
    <mergeCell ref="J22:J23"/>
    <mergeCell ref="K22:K23"/>
    <mergeCell ref="L22:L23"/>
    <mergeCell ref="M22:M23"/>
    <mergeCell ref="N22:N23"/>
    <mergeCell ref="O22:O23"/>
    <mergeCell ref="P22:P23"/>
    <mergeCell ref="Q22:Q23"/>
    <mergeCell ref="A25:A27"/>
    <mergeCell ref="I25:I27"/>
    <mergeCell ref="J25:J27"/>
    <mergeCell ref="K25:K27"/>
    <mergeCell ref="L25:L27"/>
    <mergeCell ref="M25:M27"/>
    <mergeCell ref="N25:N27"/>
    <mergeCell ref="O25:O27"/>
    <mergeCell ref="P25:P27"/>
    <mergeCell ref="Q25:Q27"/>
    <mergeCell ref="A28:A31"/>
    <mergeCell ref="I28:I31"/>
    <mergeCell ref="J28:J31"/>
    <mergeCell ref="K28:K31"/>
    <mergeCell ref="L28:L31"/>
    <mergeCell ref="M28:M31"/>
    <mergeCell ref="N28:N31"/>
    <mergeCell ref="O28:O31"/>
    <mergeCell ref="P28:P31"/>
    <mergeCell ref="Q28:Q31"/>
    <mergeCell ref="A32:A34"/>
    <mergeCell ref="I32:I34"/>
    <mergeCell ref="J32:J34"/>
    <mergeCell ref="K32:K34"/>
    <mergeCell ref="L32:L34"/>
    <mergeCell ref="M32:M34"/>
    <mergeCell ref="N32:N34"/>
    <mergeCell ref="O32:O34"/>
    <mergeCell ref="P32:P34"/>
    <mergeCell ref="Q32:Q34"/>
    <mergeCell ref="A35:E35"/>
    <mergeCell ref="I35:K35"/>
    <mergeCell ref="A37:Q37"/>
    <mergeCell ref="A38:Q38"/>
    <mergeCell ref="A39:Q39"/>
    <mergeCell ref="A40:Q40"/>
    <mergeCell ref="A41:Q41"/>
    <mergeCell ref="A42:Q42"/>
  </mergeCells>
  <conditionalFormatting sqref="Q8:Q34">
    <cfRule type="expression" priority="2" aboveAverage="0" equalAverage="0" bottom="0" percent="0" rank="0" text="" dxfId="0">
      <formula>LEFT(Q8,1)="✗"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2026-10-08T11:37:21Z</dcterms:created>
  <dc:creator>openpyxl</dc:creator>
  <dc:description/>
  <dc:language>en-US</dc:language>
  <cp:lastModifiedBy/>
  <dcterms:modified xsi:type="dcterms:W3CDTF">2026-10-08T11:37:21Z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