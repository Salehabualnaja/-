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جدول الكميات" sheetId="1" state="visible" r:id="rId3"/>
  </sheets>
  <definedNames>
    <definedName function="false" hidden="false" localSheetId="0" name="_xlnm.Print_Titles" vbProcedure="false">'جدول الكميات'!$6:$7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FreeSans"/>
            <family val="2"/>
          </rPr>
          <t xml:space="preserve">مدخل: الإجمالي بدون </t>
        </r>
        <r>
          <rPr>
            <sz val="10"/>
            <rFont val="Arial"/>
            <family val="2"/>
          </rPr>
          <t xml:space="preserve">VAT </t>
        </r>
        <r>
          <rPr>
            <sz val="10"/>
            <rFont val="FreeSans"/>
            <family val="2"/>
          </rPr>
          <t xml:space="preserve">كما ورد في جدول الكميات الأصلي المرسل من المستخدم</t>
        </r>
        <r>
          <rPr>
            <sz val="10"/>
            <rFont val="Arial"/>
            <family val="2"/>
          </rPr>
          <t xml:space="preserve">.</t>
        </r>
      </text>
    </comment>
    <comment ref="C4" authorId="0">
      <text>
        <r>
          <rPr>
            <sz val="10"/>
            <rFont val="FreeSans"/>
            <family val="2"/>
          </rPr>
          <t xml:space="preserve">مدخل: نسبة ضريبة القيمة المضافة في المملكة العربية السعودية (</t>
        </r>
        <r>
          <rPr>
            <sz val="10"/>
            <rFont val="Arial"/>
            <family val="2"/>
          </rPr>
          <t xml:space="preserve">15%).</t>
        </r>
      </text>
    </comment>
  </commentList>
</comments>
</file>

<file path=xl/sharedStrings.xml><?xml version="1.0" encoding="utf-8"?>
<sst xmlns="http://schemas.openxmlformats.org/spreadsheetml/2006/main" count="155" uniqueCount="120">
  <si>
    <t xml:space="preserve">جدول الكميات التفصيلي</t>
  </si>
  <si>
    <t xml:space="preserve">إجمالي قيمة العقد بدون ضريبة القيمة المضافة (ريال)</t>
  </si>
  <si>
    <t xml:space="preserve">دليل الألوان:</t>
  </si>
  <si>
    <t xml:space="preserve">مدخلات قابلة للتعديل</t>
  </si>
  <si>
    <t xml:space="preserve">نسبة ضريبة القيمة المضافة (VAT)</t>
  </si>
  <si>
    <t xml:space="preserve">معادلات (لا تُعدَّل)</t>
  </si>
  <si>
    <t xml:space="preserve">م</t>
  </si>
  <si>
    <t xml:space="preserve">المخرجات الرئيسية (جدول الكميات)</t>
  </si>
  <si>
    <t xml:space="preserve">تفاصيل المخرجات الفرعية</t>
  </si>
  <si>
    <t xml:space="preserve">تحقق التوزيع</t>
  </si>
  <si>
    <t xml:space="preserve">المخرج الرئيسي</t>
  </si>
  <si>
    <t xml:space="preserve">الوحدة</t>
  </si>
  <si>
    <t xml:space="preserve">العدد</t>
  </si>
  <si>
    <t xml:space="preserve">% لقيمة البند المالية</t>
  </si>
  <si>
    <t xml:space="preserve">السعر الإجمالي بدون VAT</t>
  </si>
  <si>
    <t xml:space="preserve">سعر الوحدة بدون VAT</t>
  </si>
  <si>
    <t xml:space="preserve">الإجمالي مع VAT</t>
  </si>
  <si>
    <t xml:space="preserve">سعر الوحدة مع VAT</t>
  </si>
  <si>
    <t xml:space="preserve">السعر كتابةً (بالريال السعودي)</t>
  </si>
  <si>
    <t xml:space="preserve">رقم المخرج الفرعي</t>
  </si>
  <si>
    <t xml:space="preserve">المخرج الفرعي</t>
  </si>
  <si>
    <t xml:space="preserve">نسبة التوزيع داخل المخرج الرئيسي</t>
  </si>
  <si>
    <t xml:space="preserve">سعر المخرج الفرعي بدون VAT</t>
  </si>
  <si>
    <t xml:space="preserve">سعر المخرج الفرعي مع VAT</t>
  </si>
  <si>
    <t xml:space="preserve">حزمة تأسيس المشروع</t>
  </si>
  <si>
    <t xml:space="preserve">وثيقة</t>
  </si>
  <si>
    <t xml:space="preserve">تسعة وخمسون ألفاً وتسعمائة وأربعة عشر ريالاً سعودياً وسبع وخمسون هللة فقط لا غير</t>
  </si>
  <si>
    <t xml:space="preserve">1.1</t>
  </si>
  <si>
    <t xml:space="preserve">خطة وميثاق المشروع</t>
  </si>
  <si>
    <t xml:space="preserve">1.2</t>
  </si>
  <si>
    <t xml:space="preserve">خطة إدارة المخاطر</t>
  </si>
  <si>
    <t xml:space="preserve">1.3</t>
  </si>
  <si>
    <t xml:space="preserve">الجدول الزمني للمهام</t>
  </si>
  <si>
    <t xml:space="preserve">1.4</t>
  </si>
  <si>
    <t xml:space="preserve">خطة إدارة الجودة</t>
  </si>
  <si>
    <t xml:space="preserve">منظومة إدارة المشروع والحوكمة</t>
  </si>
  <si>
    <t xml:space="preserve">لوحة مؤشرات</t>
  </si>
  <si>
    <t xml:space="preserve">واحد وسبعون ألفاً وثمانمائة وسبعة وتسعون ريالاً سعودياً وتسع وأربعون هللة فقط لا غير</t>
  </si>
  <si>
    <t xml:space="preserve">2.1</t>
  </si>
  <si>
    <t xml:space="preserve">نظام المتابعة والجدول الموحد ولوحة المؤشرات</t>
  </si>
  <si>
    <t xml:space="preserve">2.2</t>
  </si>
  <si>
    <t xml:space="preserve">مصفوفة الحوكمة والقرارات وخريطة المعالم</t>
  </si>
  <si>
    <t xml:space="preserve">تقارير التقدم</t>
  </si>
  <si>
    <t xml:space="preserve">تقارير دورية</t>
  </si>
  <si>
    <t xml:space="preserve">خمسة وثلاثون ألفاً وتسعمائة وثمانية وأربعون ريالاً سعودياً وأربع وسبعون هللة فقط لا غير</t>
  </si>
  <si>
    <t xml:space="preserve">3.1</t>
  </si>
  <si>
    <t xml:space="preserve">تقارير التقدّم ومحاضر الاجتماعات</t>
  </si>
  <si>
    <t xml:space="preserve">برنامج الملتقى الفني ومحتواه</t>
  </si>
  <si>
    <t xml:space="preserve">مائة وسبعة وستون ألفاً وسبعمائة وستون ريالاً سعودياً وإحدى وثمانون هللة فقط لا غير</t>
  </si>
  <si>
    <t xml:space="preserve">4.1</t>
  </si>
  <si>
    <t xml:space="preserve">البرنامج الفني المزمّن والسيناريو التشغيلي</t>
  </si>
  <si>
    <t xml:space="preserve">4.2</t>
  </si>
  <si>
    <t xml:space="preserve">الجلسات الحوارية</t>
  </si>
  <si>
    <t xml:space="preserve">4.3</t>
  </si>
  <si>
    <t xml:space="preserve">الورش التفاعلية والنشاط المصاحب</t>
  </si>
  <si>
    <t xml:space="preserve">4.4</t>
  </si>
  <si>
    <t xml:space="preserve">تهيئة المتحدثين وملفاتهم وبروفاتهم</t>
  </si>
  <si>
    <t xml:space="preserve">حزمة الهوية وقوالب المواد</t>
  </si>
  <si>
    <t xml:space="preserve">حزمة</t>
  </si>
  <si>
    <t xml:space="preserve">ثلاثة وعشرون ألفاً وتسعمائة وخمسة وستون ريالاً سعودياً وثلاث وثمانون هللة فقط لا غير</t>
  </si>
  <si>
    <t xml:space="preserve">5.1</t>
  </si>
  <si>
    <t xml:space="preserve">إطار مؤشرات النجاح وقياس أدائها</t>
  </si>
  <si>
    <t xml:space="preserve">مائة وتسعة عشر ألفاً وثمانمائة وتسعة وعشرون ريالاً سعودياً وخمس عشرة هللة فقط لا غير</t>
  </si>
  <si>
    <t xml:space="preserve">6.1</t>
  </si>
  <si>
    <t xml:space="preserve">مؤشرات النجاح ومستهدفاتها وأدوات قياسها</t>
  </si>
  <si>
    <t xml:space="preserve">قاعدة بيانات المشاركين</t>
  </si>
  <si>
    <t xml:space="preserve">قاعدة بيانات</t>
  </si>
  <si>
    <t xml:space="preserve">7.1</t>
  </si>
  <si>
    <t xml:space="preserve">قاعدة بيانات الشركات والخبراء والمدعوين</t>
  </si>
  <si>
    <t xml:space="preserve">التسجيل والاستقبال</t>
  </si>
  <si>
    <t xml:space="preserve">نموذج التسجيل</t>
  </si>
  <si>
    <t xml:space="preserve">8.1</t>
  </si>
  <si>
    <t xml:space="preserve">نموذج التسجيل الإلكتروني وتشغيله</t>
  </si>
  <si>
    <t xml:space="preserve">8.2</t>
  </si>
  <si>
    <t xml:space="preserve">بطاقات المشاركين وتشغيل الاستقبال</t>
  </si>
  <si>
    <t xml:space="preserve">بطاقة</t>
  </si>
  <si>
    <t xml:space="preserve">180 - 220</t>
  </si>
  <si>
    <t xml:space="preserve">تخطيط الحملة الإعلامية</t>
  </si>
  <si>
    <t xml:space="preserve">ثلاثة وثمانون ألفاً وثمانمائة وثمانون ريالاً سعودياً وأربعون هللة فقط لا غير</t>
  </si>
  <si>
    <t xml:space="preserve">9.1</t>
  </si>
  <si>
    <t xml:space="preserve">الخطة الإعلامية التوعوية</t>
  </si>
  <si>
    <t xml:space="preserve">تنفيذ الحملة الإعلامية</t>
  </si>
  <si>
    <t xml:space="preserve">مواد إعلامية</t>
  </si>
  <si>
    <t xml:space="preserve">مائة وتسعة وسبعون ألفاً وسبعمائة وثلاثة وأربعون ريالاً سعودياً واثنتان وسبعون هللة فقط لا غير</t>
  </si>
  <si>
    <t xml:space="preserve">10.1</t>
  </si>
  <si>
    <t xml:space="preserve">المرحلة الأولى (الفيديوهات)</t>
  </si>
  <si>
    <t xml:space="preserve">فيديوهات</t>
  </si>
  <si>
    <t xml:space="preserve">10.2</t>
  </si>
  <si>
    <t xml:space="preserve">المرحلة الأولى (الإنفوجراف)</t>
  </si>
  <si>
    <t xml:space="preserve">إنفوجراف</t>
  </si>
  <si>
    <t xml:space="preserve">10.3</t>
  </si>
  <si>
    <t xml:space="preserve">المرحلة الثانية</t>
  </si>
  <si>
    <t xml:space="preserve">الجاهزية التشغيلية وتنفيذ يوم الملتقى</t>
  </si>
  <si>
    <t xml:space="preserve">دعم تشغيلي</t>
  </si>
  <si>
    <t xml:space="preserve">مائتان وتسعة وثلاثون ألفاً وستمائة وثمانية وخمسون ريالاً سعودياً وثلاثون هللة فقط لا غير</t>
  </si>
  <si>
    <t xml:space="preserve">11.1</t>
  </si>
  <si>
    <t xml:space="preserve">ضوابط الهوية وتجربة الزائر للمعرض، ونماذج مطابقة مخرجات المورد</t>
  </si>
  <si>
    <t xml:space="preserve">11.2</t>
  </si>
  <si>
    <t xml:space="preserve">إدارة الأعمال المؤقّرة والمورد الموجّه</t>
  </si>
  <si>
    <t xml:space="preserve">11.3</t>
  </si>
  <si>
    <t xml:space="preserve">التغطية الإعلامية يوم الملتقى</t>
  </si>
  <si>
    <t xml:space="preserve">تغطية بصرية</t>
  </si>
  <si>
    <t xml:space="preserve">11.4</t>
  </si>
  <si>
    <t xml:space="preserve">حزمة الإنتاج والمطبوعات</t>
  </si>
  <si>
    <t xml:space="preserve">الإغلاق وقياس الأثر</t>
  </si>
  <si>
    <t xml:space="preserve">تقرير ختامي</t>
  </si>
  <si>
    <t xml:space="preserve">12.1</t>
  </si>
  <si>
    <t xml:space="preserve">التقرير الختامي والتوثيق</t>
  </si>
  <si>
    <t xml:space="preserve">12.2</t>
  </si>
  <si>
    <t xml:space="preserve">استبانة قياس الرضا والأثر</t>
  </si>
  <si>
    <t xml:space="preserve">12.3</t>
  </si>
  <si>
    <t xml:space="preserve">الأرشفة والإغلاق</t>
  </si>
  <si>
    <t xml:space="preserve">الإجمالي</t>
  </si>
  <si>
    <t xml:space="preserve">مليون ومائة وثمانية وتسعون ألفاً ومائتان وواحد وتسعون ريالاً سعودياً وخمسون هللة فقط لا غير</t>
  </si>
  <si>
    <t xml:space="preserve">ملاحظات:</t>
  </si>
  <si>
    <t xml:space="preserve">1) سعر المخرج الرئيسي بدون VAT = إجمالي قيمة العقد (C3) × نسبة البند، مقرّباً لهللتين؛ والضريبة = السعر × نسبة الضريبة (C4) مقرّبة لهللتين؛ والإجمالي مع الضريبة = السعر + الضريبة.</t>
  </si>
  <si>
    <t xml:space="preserve">2) سعر الوحدة = السعر ÷ العدد (مثال: تقارير التقدم = سعر البند ÷ 6 تقارير). إذا كان العدد نطاقاً (مثل 180 - 220 بطاقة) يظهر سعر الوحدة نطاقاً من الحد الأعلى إلى الحد الأدنى للعدد.</t>
  </si>
  <si>
    <t xml:space="preserve">3) سعر المخرج الفرعي = سعر المخرج الرئيسي × نسبة التوزيع. النسب الافتراضية موزّعة بالتساوي بين المخرجات الفرعية لعدم ورود تسعير تفصيلي لها؛ عدّلها حسب الحاجة على أن يكون مجموعها لكل مخرج 100%.</t>
  </si>
  <si>
    <t xml:space="preserve">4) عمود (تحقق التوزيع) يتأكد أن نسب التوزيع مجموعها 100% وأن مجموع أسعار المخرجات الفرعية يساوي سعر المخرج الرئيسي.</t>
  </si>
  <si>
    <t xml:space="preserve">5) عمود (السعر كتابةً) نص ثابت منقول من الجدول الأصلي؛ إذا غيّرت النسب أو قيمة العقد فيلزم تحديثه يدوياً.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</si>
</sst>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SAR &quot;#,##0.00;&quot;(SAR &quot;#,##0.00\);\-"/>
    <numFmt numFmtId="166" formatCode="0.00%;\(0.0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A44"/>
        <bgColor rgb="FF003366"/>
      </patternFill>
    </fill>
    <fill>
      <patternFill patternType="solid">
        <fgColor rgb="FF2E7D6B"/>
        <bgColor rgb="FF008080"/>
      </patternFill>
    </fill>
    <fill>
      <patternFill patternType="solid">
        <fgColor rgb="FFF2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2E7D6B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17"/>
    <col collapsed="false" customWidth="true" hidden="false" outlineLevel="0" max="8" min="8" style="0" width="15"/>
    <col collapsed="false" customWidth="true" hidden="false" outlineLevel="0" max="10" min="9" style="0" width="17"/>
    <col collapsed="false" customWidth="true" hidden="false" outlineLevel="0" max="11" min="11" style="0" width="46"/>
    <col collapsed="false" customWidth="true" hidden="false" outlineLevel="0" max="12" min="12" style="0" width="9"/>
    <col collapsed="false" customWidth="true" hidden="false" outlineLevel="0" max="13" min="13" style="0" width="40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7"/>
    <col collapsed="false" customWidth="true" hidden="false" outlineLevel="0" max="18" min="18" style="0" width="22"/>
    <col collapsed="false" customWidth="true" hidden="false" outlineLevel="0" max="19" min="19" style="0" width="17"/>
    <col collapsed="false" customWidth="true" hidden="false" outlineLevel="0" max="20" min="20" style="0" width="22"/>
    <col collapsed="false" customWidth="true" hidden="false" outlineLevel="0" max="21" min="21" style="0" width="13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3" customFormat="false" ht="23.85" hidden="false" customHeight="true" outlineLevel="0" collapsed="false">
      <c r="B3" s="2" t="s">
        <v>1</v>
      </c>
      <c r="C3" s="3" t="n">
        <v>1041992.61</v>
      </c>
      <c r="D3" s="3"/>
      <c r="F3" s="2" t="s">
        <v>2</v>
      </c>
      <c r="G3" s="4" t="s">
        <v>3</v>
      </c>
      <c r="H3" s="4"/>
    </row>
    <row r="4" customFormat="false" ht="15" hidden="false" customHeight="true" outlineLevel="0" collapsed="false">
      <c r="B4" s="2" t="s">
        <v>4</v>
      </c>
      <c r="C4" s="5" t="n">
        <v>0.15</v>
      </c>
      <c r="D4" s="5"/>
      <c r="G4" s="6" t="s">
        <v>5</v>
      </c>
      <c r="H4" s="6"/>
    </row>
    <row r="6" customFormat="false" ht="15" hidden="false" customHeight="true" outlineLevel="0" collapsed="false">
      <c r="A6" s="7" t="s">
        <v>6</v>
      </c>
      <c r="B6" s="7" t="s">
        <v>7</v>
      </c>
      <c r="C6" s="7"/>
      <c r="D6" s="7"/>
      <c r="E6" s="7"/>
      <c r="F6" s="7"/>
      <c r="G6" s="7"/>
      <c r="H6" s="7"/>
      <c r="I6" s="7"/>
      <c r="J6" s="7"/>
      <c r="K6" s="7"/>
      <c r="L6" s="8" t="s">
        <v>8</v>
      </c>
      <c r="M6" s="8"/>
      <c r="N6" s="8"/>
      <c r="O6" s="8"/>
      <c r="P6" s="8"/>
      <c r="Q6" s="8"/>
      <c r="R6" s="8"/>
      <c r="S6" s="8"/>
      <c r="T6" s="8"/>
      <c r="U6" s="7" t="s">
        <v>9</v>
      </c>
    </row>
    <row r="7" customFormat="false" ht="42" hidden="false" customHeight="true" outlineLevel="0" collapsed="false">
      <c r="A7" s="7"/>
      <c r="B7" s="7" t="s">
        <v>10</v>
      </c>
      <c r="C7" s="7" t="s">
        <v>11</v>
      </c>
      <c r="D7" s="7" t="s">
        <v>12</v>
      </c>
      <c r="E7" s="7" t="s">
        <v>13</v>
      </c>
      <c r="F7" s="7" t="s">
        <v>14</v>
      </c>
      <c r="G7" s="7" t="s">
        <v>15</v>
      </c>
      <c r="H7" s="7" t="str">
        <f aca="false">"VAT ("&amp;TEXT($C$4,"0%")&amp;")"</f>
        <v>VAT (15%)</v>
      </c>
      <c r="I7" s="7" t="s">
        <v>16</v>
      </c>
      <c r="J7" s="7" t="s">
        <v>17</v>
      </c>
      <c r="K7" s="7" t="s">
        <v>18</v>
      </c>
      <c r="L7" s="8" t="s">
        <v>19</v>
      </c>
      <c r="M7" s="8" t="s">
        <v>20</v>
      </c>
      <c r="N7" s="8" t="s">
        <v>11</v>
      </c>
      <c r="O7" s="8" t="s">
        <v>12</v>
      </c>
      <c r="P7" s="8" t="s">
        <v>21</v>
      </c>
      <c r="Q7" s="8" t="s">
        <v>22</v>
      </c>
      <c r="R7" s="8" t="s">
        <v>15</v>
      </c>
      <c r="S7" s="8" t="s">
        <v>23</v>
      </c>
      <c r="T7" s="8" t="s">
        <v>17</v>
      </c>
      <c r="U7" s="7"/>
    </row>
    <row r="8" customFormat="false" ht="33.75" hidden="false" customHeight="true" outlineLevel="0" collapsed="false">
      <c r="A8" s="9" t="n">
        <v>1</v>
      </c>
      <c r="B8" s="10" t="s">
        <v>24</v>
      </c>
      <c r="C8" s="9" t="s">
        <v>25</v>
      </c>
      <c r="D8" s="9" t="n">
        <v>1</v>
      </c>
      <c r="E8" s="5" t="n">
        <v>0.05</v>
      </c>
      <c r="F8" s="11" t="n">
        <f aca="false">ROUND($C$3*E8,2)</f>
        <v>52099.63</v>
      </c>
      <c r="G8" s="11" t="n">
        <f aca="false">IF(ISNUMBER(D8),F8/D8,IFERROR("SAR "&amp;TEXT(F8/VALUE(TRIM(MID(D8,FIND("-",D8)+1,20))),"#,##0.00")&amp;" - SAR "&amp;TEXT(F8/VALUE(TRIM(LEFT(D8,FIND("-",D8)-1))),"#,##0.00"),"-"))</f>
        <v>52099.63</v>
      </c>
      <c r="H8" s="11" t="n">
        <f aca="false">ROUND(F8*$C$4,2)</f>
        <v>7814.94</v>
      </c>
      <c r="I8" s="11" t="n">
        <f aca="false">F8+H8</f>
        <v>59914.57</v>
      </c>
      <c r="J8" s="11" t="n">
        <f aca="false">IF(ISNUMBER(D8),I8/D8,IFERROR("SAR "&amp;TEXT(I8/VALUE(TRIM(MID(D8,FIND("-",D8)+1,20))),"#,##0.00")&amp;" - SAR "&amp;TEXT(I8/VALUE(TRIM(LEFT(D8,FIND("-",D8)-1))),"#,##0.00"),"-"))</f>
        <v>59914.57</v>
      </c>
      <c r="K8" s="12" t="s">
        <v>26</v>
      </c>
      <c r="L8" s="6" t="s">
        <v>27</v>
      </c>
      <c r="M8" s="13" t="s">
        <v>28</v>
      </c>
      <c r="N8" s="6" t="s">
        <v>25</v>
      </c>
      <c r="O8" s="6" t="n">
        <v>1</v>
      </c>
      <c r="P8" s="5" t="n">
        <f aca="false">1/4</f>
        <v>0.25</v>
      </c>
      <c r="Q8" s="14" t="n">
        <f aca="false">F$8*P8</f>
        <v>13024.9075</v>
      </c>
      <c r="R8" s="14" t="n">
        <f aca="false">IF(ISNUMBER(O8),Q8/O8,IFERROR("SAR "&amp;TEXT(Q8/VALUE(TRIM(MID(O8,FIND("-",O8)+1,20))),"#,##0.00")&amp;" - SAR "&amp;TEXT(Q8/VALUE(TRIM(LEFT(O8,FIND("-",O8)-1))),"#,##0.00"),"-"))</f>
        <v>13024.9075</v>
      </c>
      <c r="S8" s="14" t="n">
        <f aca="false">Q8*(1+$C$4)</f>
        <v>14978.643625</v>
      </c>
      <c r="T8" s="14" t="n">
        <f aca="false">IF(ISNUMBER(O8),S8/O8,IFERROR("SAR "&amp;TEXT(S8/VALUE(TRIM(MID(O8,FIND("-",O8)+1,20))),"#,##0.00")&amp;" - SAR "&amp;TEXT(S8/VALUE(TRIM(LEFT(O8,FIND("-",O8)-1))),"#,##0.00"),"-"))</f>
        <v>14978.643625</v>
      </c>
      <c r="U8" s="9" t="str">
        <f aca="false">IF(AND(ABS(SUM(P8:P11)-1)&lt;0.000001,ABS(SUM(Q8:Q11)-F8)&lt;0.005),"✓ مطابق","✗ راجع النسب")</f>
        <v>✓ مطابق</v>
      </c>
    </row>
    <row r="9" customFormat="false" ht="33.75" hidden="false" customHeight="true" outlineLevel="0" collapsed="false">
      <c r="A9" s="9"/>
      <c r="B9" s="10"/>
      <c r="C9" s="9"/>
      <c r="D9" s="9"/>
      <c r="E9" s="9"/>
      <c r="F9" s="9"/>
      <c r="G9" s="9"/>
      <c r="H9" s="9"/>
      <c r="I9" s="9"/>
      <c r="J9" s="9"/>
      <c r="K9" s="12"/>
      <c r="L9" s="6" t="s">
        <v>29</v>
      </c>
      <c r="M9" s="13" t="s">
        <v>30</v>
      </c>
      <c r="N9" s="6" t="s">
        <v>25</v>
      </c>
      <c r="O9" s="6" t="n">
        <v>1</v>
      </c>
      <c r="P9" s="5" t="n">
        <f aca="false">1/4</f>
        <v>0.25</v>
      </c>
      <c r="Q9" s="14" t="n">
        <f aca="false">F$8*P9</f>
        <v>13024.9075</v>
      </c>
      <c r="R9" s="14" t="n">
        <f aca="false">IF(ISNUMBER(O9),Q9/O9,IFERROR("SAR "&amp;TEXT(Q9/VALUE(TRIM(MID(O9,FIND("-",O9)+1,20))),"#,##0.00")&amp;" - SAR "&amp;TEXT(Q9/VALUE(TRIM(LEFT(O9,FIND("-",O9)-1))),"#,##0.00"),"-"))</f>
        <v>13024.9075</v>
      </c>
      <c r="S9" s="14" t="n">
        <f aca="false">Q9*(1+$C$4)</f>
        <v>14978.643625</v>
      </c>
      <c r="T9" s="14" t="n">
        <f aca="false">IF(ISNUMBER(O9),S9/O9,IFERROR("SAR "&amp;TEXT(S9/VALUE(TRIM(MID(O9,FIND("-",O9)+1,20))),"#,##0.00")&amp;" - SAR "&amp;TEXT(S9/VALUE(TRIM(LEFT(O9,FIND("-",O9)-1))),"#,##0.00"),"-"))</f>
        <v>14978.643625</v>
      </c>
      <c r="U9" s="9"/>
    </row>
    <row r="10" customFormat="false" ht="33.75" hidden="false" customHeight="true" outlineLevel="0" collapsed="false">
      <c r="A10" s="9"/>
      <c r="B10" s="10"/>
      <c r="C10" s="9"/>
      <c r="D10" s="9"/>
      <c r="E10" s="9"/>
      <c r="F10" s="9"/>
      <c r="G10" s="9"/>
      <c r="H10" s="9"/>
      <c r="I10" s="9"/>
      <c r="J10" s="9"/>
      <c r="K10" s="12"/>
      <c r="L10" s="6" t="s">
        <v>31</v>
      </c>
      <c r="M10" s="13" t="s">
        <v>32</v>
      </c>
      <c r="N10" s="6" t="s">
        <v>25</v>
      </c>
      <c r="O10" s="6" t="n">
        <v>1</v>
      </c>
      <c r="P10" s="5" t="n">
        <f aca="false">1/4</f>
        <v>0.25</v>
      </c>
      <c r="Q10" s="14" t="n">
        <f aca="false">F$8*P10</f>
        <v>13024.9075</v>
      </c>
      <c r="R10" s="14" t="n">
        <f aca="false">IF(ISNUMBER(O10),Q10/O10,IFERROR("SAR "&amp;TEXT(Q10/VALUE(TRIM(MID(O10,FIND("-",O10)+1,20))),"#,##0.00")&amp;" - SAR "&amp;TEXT(Q10/VALUE(TRIM(LEFT(O10,FIND("-",O10)-1))),"#,##0.00"),"-"))</f>
        <v>13024.9075</v>
      </c>
      <c r="S10" s="14" t="n">
        <f aca="false">Q10*(1+$C$4)</f>
        <v>14978.643625</v>
      </c>
      <c r="T10" s="14" t="n">
        <f aca="false">IF(ISNUMBER(O10),S10/O10,IFERROR("SAR "&amp;TEXT(S10/VALUE(TRIM(MID(O10,FIND("-",O10)+1,20))),"#,##0.00")&amp;" - SAR "&amp;TEXT(S10/VALUE(TRIM(LEFT(O10,FIND("-",O10)-1))),"#,##0.00"),"-"))</f>
        <v>14978.643625</v>
      </c>
      <c r="U10" s="9"/>
    </row>
    <row r="11" customFormat="false" ht="33.75" hidden="false" customHeight="true" outlineLevel="0" collapsed="false">
      <c r="A11" s="9"/>
      <c r="B11" s="10"/>
      <c r="C11" s="9"/>
      <c r="D11" s="9"/>
      <c r="E11" s="9"/>
      <c r="F11" s="9"/>
      <c r="G11" s="9"/>
      <c r="H11" s="9"/>
      <c r="I11" s="9"/>
      <c r="J11" s="9"/>
      <c r="K11" s="12"/>
      <c r="L11" s="6" t="s">
        <v>33</v>
      </c>
      <c r="M11" s="13" t="s">
        <v>34</v>
      </c>
      <c r="N11" s="6" t="s">
        <v>25</v>
      </c>
      <c r="O11" s="6" t="n">
        <v>1</v>
      </c>
      <c r="P11" s="5" t="n">
        <f aca="false">1/4</f>
        <v>0.25</v>
      </c>
      <c r="Q11" s="14" t="n">
        <f aca="false">F$8*P11</f>
        <v>13024.9075</v>
      </c>
      <c r="R11" s="14" t="n">
        <f aca="false">IF(ISNUMBER(O11),Q11/O11,IFERROR("SAR "&amp;TEXT(Q11/VALUE(TRIM(MID(O11,FIND("-",O11)+1,20))),"#,##0.00")&amp;" - SAR "&amp;TEXT(Q11/VALUE(TRIM(LEFT(O11,FIND("-",O11)-1))),"#,##0.00"),"-"))</f>
        <v>13024.9075</v>
      </c>
      <c r="S11" s="14" t="n">
        <f aca="false">Q11*(1+$C$4)</f>
        <v>14978.643625</v>
      </c>
      <c r="T11" s="14" t="n">
        <f aca="false">IF(ISNUMBER(O11),S11/O11,IFERROR("SAR "&amp;TEXT(S11/VALUE(TRIM(MID(O11,FIND("-",O11)+1,20))),"#,##0.00")&amp;" - SAR "&amp;TEXT(S11/VALUE(TRIM(LEFT(O11,FIND("-",O11)-1))),"#,##0.00"),"-"))</f>
        <v>14978.643625</v>
      </c>
      <c r="U11" s="9"/>
    </row>
    <row r="12" customFormat="false" ht="33.75" hidden="false" customHeight="true" outlineLevel="0" collapsed="false">
      <c r="A12" s="9" t="n">
        <v>2</v>
      </c>
      <c r="B12" s="10" t="s">
        <v>35</v>
      </c>
      <c r="C12" s="9" t="s">
        <v>36</v>
      </c>
      <c r="D12" s="9" t="n">
        <v>1</v>
      </c>
      <c r="E12" s="5" t="n">
        <v>0.06</v>
      </c>
      <c r="F12" s="11" t="n">
        <f aca="false">ROUND($C$3*E12,2)</f>
        <v>62519.56</v>
      </c>
      <c r="G12" s="11" t="n">
        <f aca="false">IF(ISNUMBER(D12),F12/D12,IFERROR("SAR "&amp;TEXT(F12/VALUE(TRIM(MID(D12,FIND("-",D12)+1,20))),"#,##0.00")&amp;" - SAR "&amp;TEXT(F12/VALUE(TRIM(LEFT(D12,FIND("-",D12)-1))),"#,##0.00"),"-"))</f>
        <v>62519.56</v>
      </c>
      <c r="H12" s="11" t="n">
        <f aca="false">ROUND(F12*$C$4,2)</f>
        <v>9377.93</v>
      </c>
      <c r="I12" s="11" t="n">
        <f aca="false">F12+H12</f>
        <v>71897.49</v>
      </c>
      <c r="J12" s="11" t="n">
        <f aca="false">IF(ISNUMBER(D12),I12/D12,IFERROR("SAR "&amp;TEXT(I12/VALUE(TRIM(MID(D12,FIND("-",D12)+1,20))),"#,##0.00")&amp;" - SAR "&amp;TEXT(I12/VALUE(TRIM(LEFT(D12,FIND("-",D12)-1))),"#,##0.00"),"-"))</f>
        <v>71897.49</v>
      </c>
      <c r="K12" s="12" t="s">
        <v>37</v>
      </c>
      <c r="L12" s="6" t="s">
        <v>38</v>
      </c>
      <c r="M12" s="13" t="s">
        <v>39</v>
      </c>
      <c r="N12" s="6" t="s">
        <v>36</v>
      </c>
      <c r="O12" s="6" t="n">
        <v>1</v>
      </c>
      <c r="P12" s="5" t="n">
        <f aca="false">1/2</f>
        <v>0.5</v>
      </c>
      <c r="Q12" s="14" t="n">
        <f aca="false">F$12*P12</f>
        <v>31259.78</v>
      </c>
      <c r="R12" s="14" t="n">
        <f aca="false">IF(ISNUMBER(O12),Q12/O12,IFERROR("SAR "&amp;TEXT(Q12/VALUE(TRIM(MID(O12,FIND("-",O12)+1,20))),"#,##0.00")&amp;" - SAR "&amp;TEXT(Q12/VALUE(TRIM(LEFT(O12,FIND("-",O12)-1))),"#,##0.00"),"-"))</f>
        <v>31259.78</v>
      </c>
      <c r="S12" s="14" t="n">
        <f aca="false">Q12*(1+$C$4)</f>
        <v>35948.747</v>
      </c>
      <c r="T12" s="14" t="n">
        <f aca="false">IF(ISNUMBER(O12),S12/O12,IFERROR("SAR "&amp;TEXT(S12/VALUE(TRIM(MID(O12,FIND("-",O12)+1,20))),"#,##0.00")&amp;" - SAR "&amp;TEXT(S12/VALUE(TRIM(LEFT(O12,FIND("-",O12)-1))),"#,##0.00"),"-"))</f>
        <v>35948.747</v>
      </c>
      <c r="U12" s="9" t="str">
        <f aca="false">IF(AND(ABS(SUM(P12:P13)-1)&lt;0.000001,ABS(SUM(Q12:Q13)-F12)&lt;0.005),"✓ مطابق","✗ راجع النسب")</f>
        <v>✓ مطابق</v>
      </c>
    </row>
    <row r="13" customFormat="false" ht="33.75" hidden="false" customHeight="true" outlineLevel="0" collapsed="false">
      <c r="A13" s="9"/>
      <c r="B13" s="10"/>
      <c r="C13" s="9"/>
      <c r="D13" s="9"/>
      <c r="E13" s="9"/>
      <c r="F13" s="9"/>
      <c r="G13" s="9"/>
      <c r="H13" s="9"/>
      <c r="I13" s="9"/>
      <c r="J13" s="9"/>
      <c r="K13" s="12"/>
      <c r="L13" s="6" t="s">
        <v>40</v>
      </c>
      <c r="M13" s="13" t="s">
        <v>41</v>
      </c>
      <c r="N13" s="6" t="s">
        <v>36</v>
      </c>
      <c r="O13" s="6" t="n">
        <v>1</v>
      </c>
      <c r="P13" s="5" t="n">
        <f aca="false">1/2</f>
        <v>0.5</v>
      </c>
      <c r="Q13" s="14" t="n">
        <f aca="false">F$12*P13</f>
        <v>31259.78</v>
      </c>
      <c r="R13" s="14" t="n">
        <f aca="false">IF(ISNUMBER(O13),Q13/O13,IFERROR("SAR "&amp;TEXT(Q13/VALUE(TRIM(MID(O13,FIND("-",O13)+1,20))),"#,##0.00")&amp;" - SAR "&amp;TEXT(Q13/VALUE(TRIM(LEFT(O13,FIND("-",O13)-1))),"#,##0.00"),"-"))</f>
        <v>31259.78</v>
      </c>
      <c r="S13" s="14" t="n">
        <f aca="false">Q13*(1+$C$4)</f>
        <v>35948.747</v>
      </c>
      <c r="T13" s="14" t="n">
        <f aca="false">IF(ISNUMBER(O13),S13/O13,IFERROR("SAR "&amp;TEXT(S13/VALUE(TRIM(MID(O13,FIND("-",O13)+1,20))),"#,##0.00")&amp;" - SAR "&amp;TEXT(S13/VALUE(TRIM(LEFT(O13,FIND("-",O13)-1))),"#,##0.00"),"-"))</f>
        <v>35948.747</v>
      </c>
      <c r="U13" s="9"/>
    </row>
    <row r="14" customFormat="false" ht="33.75" hidden="false" customHeight="true" outlineLevel="0" collapsed="false">
      <c r="A14" s="9" t="n">
        <v>3</v>
      </c>
      <c r="B14" s="10" t="s">
        <v>42</v>
      </c>
      <c r="C14" s="9" t="s">
        <v>43</v>
      </c>
      <c r="D14" s="9" t="n">
        <v>6</v>
      </c>
      <c r="E14" s="5" t="n">
        <v>0.03</v>
      </c>
      <c r="F14" s="11" t="n">
        <f aca="false">ROUND($C$3*E14,2)</f>
        <v>31259.78</v>
      </c>
      <c r="G14" s="11" t="n">
        <f aca="false">IF(ISNUMBER(D14),F14/D14,IFERROR("SAR "&amp;TEXT(F14/VALUE(TRIM(MID(D14,FIND("-",D14)+1,20))),"#,##0.00")&amp;" - SAR "&amp;TEXT(F14/VALUE(TRIM(LEFT(D14,FIND("-",D14)-1))),"#,##0.00"),"-"))</f>
        <v>5209.96333333333</v>
      </c>
      <c r="H14" s="11" t="n">
        <f aca="false">ROUND(F14*$C$4,2)</f>
        <v>4688.97</v>
      </c>
      <c r="I14" s="11" t="n">
        <f aca="false">F14+H14</f>
        <v>35948.75</v>
      </c>
      <c r="J14" s="11" t="n">
        <f aca="false">IF(ISNUMBER(D14),I14/D14,IFERROR("SAR "&amp;TEXT(I14/VALUE(TRIM(MID(D14,FIND("-",D14)+1,20))),"#,##0.00")&amp;" - SAR "&amp;TEXT(I14/VALUE(TRIM(LEFT(D14,FIND("-",D14)-1))),"#,##0.00"),"-"))</f>
        <v>5991.45833333333</v>
      </c>
      <c r="K14" s="12" t="s">
        <v>44</v>
      </c>
      <c r="L14" s="6" t="s">
        <v>45</v>
      </c>
      <c r="M14" s="13" t="s">
        <v>46</v>
      </c>
      <c r="N14" s="6" t="s">
        <v>43</v>
      </c>
      <c r="O14" s="6" t="n">
        <v>6</v>
      </c>
      <c r="P14" s="5" t="n">
        <v>1</v>
      </c>
      <c r="Q14" s="14" t="n">
        <f aca="false">F$14*P14</f>
        <v>31259.78</v>
      </c>
      <c r="R14" s="14" t="n">
        <f aca="false">IF(ISNUMBER(O14),Q14/O14,IFERROR("SAR "&amp;TEXT(Q14/VALUE(TRIM(MID(O14,FIND("-",O14)+1,20))),"#,##0.00")&amp;" - SAR "&amp;TEXT(Q14/VALUE(TRIM(LEFT(O14,FIND("-",O14)-1))),"#,##0.00"),"-"))</f>
        <v>5209.96333333333</v>
      </c>
      <c r="S14" s="14" t="n">
        <f aca="false">Q14*(1+$C$4)</f>
        <v>35948.747</v>
      </c>
      <c r="T14" s="14" t="n">
        <f aca="false">IF(ISNUMBER(O14),S14/O14,IFERROR("SAR "&amp;TEXT(S14/VALUE(TRIM(MID(O14,FIND("-",O14)+1,20))),"#,##0.00")&amp;" - SAR "&amp;TEXT(S14/VALUE(TRIM(LEFT(O14,FIND("-",O14)-1))),"#,##0.00"),"-"))</f>
        <v>5991.45783333333</v>
      </c>
      <c r="U14" s="9" t="str">
        <f aca="false">IF(AND(ABS(SUM(P14:P14)-1)&lt;0.000001,ABS(SUM(Q14:Q14)-F14)&lt;0.005),"✓ مطابق","✗ راجع النسب")</f>
        <v>✓ مطابق</v>
      </c>
    </row>
    <row r="15" customFormat="false" ht="33.75" hidden="false" customHeight="true" outlineLevel="0" collapsed="false">
      <c r="A15" s="9" t="n">
        <v>4</v>
      </c>
      <c r="B15" s="10" t="s">
        <v>47</v>
      </c>
      <c r="C15" s="9" t="s">
        <v>25</v>
      </c>
      <c r="D15" s="9" t="n">
        <v>1</v>
      </c>
      <c r="E15" s="5" t="n">
        <v>0.14</v>
      </c>
      <c r="F15" s="11" t="n">
        <f aca="false">ROUND($C$3*E15,2)</f>
        <v>145878.97</v>
      </c>
      <c r="G15" s="11" t="n">
        <f aca="false">IF(ISNUMBER(D15),F15/D15,IFERROR("SAR "&amp;TEXT(F15/VALUE(TRIM(MID(D15,FIND("-",D15)+1,20))),"#,##0.00")&amp;" - SAR "&amp;TEXT(F15/VALUE(TRIM(LEFT(D15,FIND("-",D15)-1))),"#,##0.00"),"-"))</f>
        <v>145878.97</v>
      </c>
      <c r="H15" s="11" t="n">
        <f aca="false">ROUND(F15*$C$4,2)</f>
        <v>21881.85</v>
      </c>
      <c r="I15" s="11" t="n">
        <f aca="false">F15+H15</f>
        <v>167760.82</v>
      </c>
      <c r="J15" s="11" t="n">
        <f aca="false">IF(ISNUMBER(D15),I15/D15,IFERROR("SAR "&amp;TEXT(I15/VALUE(TRIM(MID(D15,FIND("-",D15)+1,20))),"#,##0.00")&amp;" - SAR "&amp;TEXT(I15/VALUE(TRIM(LEFT(D15,FIND("-",D15)-1))),"#,##0.00"),"-"))</f>
        <v>167760.82</v>
      </c>
      <c r="K15" s="12" t="s">
        <v>48</v>
      </c>
      <c r="L15" s="6" t="s">
        <v>49</v>
      </c>
      <c r="M15" s="13" t="s">
        <v>50</v>
      </c>
      <c r="N15" s="6" t="s">
        <v>25</v>
      </c>
      <c r="O15" s="6" t="n">
        <v>1</v>
      </c>
      <c r="P15" s="5" t="n">
        <f aca="false">1/4</f>
        <v>0.25</v>
      </c>
      <c r="Q15" s="14" t="n">
        <f aca="false">F$15*P15</f>
        <v>36469.7425</v>
      </c>
      <c r="R15" s="14" t="n">
        <f aca="false">IF(ISNUMBER(O15),Q15/O15,IFERROR("SAR "&amp;TEXT(Q15/VALUE(TRIM(MID(O15,FIND("-",O15)+1,20))),"#,##0.00")&amp;" - SAR "&amp;TEXT(Q15/VALUE(TRIM(LEFT(O15,FIND("-",O15)-1))),"#,##0.00"),"-"))</f>
        <v>36469.7425</v>
      </c>
      <c r="S15" s="14" t="n">
        <f aca="false">Q15*(1+$C$4)</f>
        <v>41940.203875</v>
      </c>
      <c r="T15" s="14" t="n">
        <f aca="false">IF(ISNUMBER(O15),S15/O15,IFERROR("SAR "&amp;TEXT(S15/VALUE(TRIM(MID(O15,FIND("-",O15)+1,20))),"#,##0.00")&amp;" - SAR "&amp;TEXT(S15/VALUE(TRIM(LEFT(O15,FIND("-",O15)-1))),"#,##0.00"),"-"))</f>
        <v>41940.203875</v>
      </c>
      <c r="U15" s="9" t="str">
        <f aca="false">IF(AND(ABS(SUM(P15:P18)-1)&lt;0.000001,ABS(SUM(Q15:Q18)-F15)&lt;0.005),"✓ مطابق","✗ راجع النسب")</f>
        <v>✓ مطابق</v>
      </c>
    </row>
    <row r="16" customFormat="false" ht="33.75" hidden="false" customHeight="true" outlineLevel="0" collapsed="false">
      <c r="A16" s="9"/>
      <c r="B16" s="10"/>
      <c r="C16" s="9"/>
      <c r="D16" s="9"/>
      <c r="E16" s="9"/>
      <c r="F16" s="9"/>
      <c r="G16" s="9"/>
      <c r="H16" s="9"/>
      <c r="I16" s="9"/>
      <c r="J16" s="9"/>
      <c r="K16" s="12"/>
      <c r="L16" s="6" t="s">
        <v>51</v>
      </c>
      <c r="M16" s="13" t="s">
        <v>52</v>
      </c>
      <c r="N16" s="6" t="s">
        <v>25</v>
      </c>
      <c r="O16" s="6" t="n">
        <v>1</v>
      </c>
      <c r="P16" s="5" t="n">
        <f aca="false">1/4</f>
        <v>0.25</v>
      </c>
      <c r="Q16" s="14" t="n">
        <f aca="false">F$15*P16</f>
        <v>36469.7425</v>
      </c>
      <c r="R16" s="14" t="n">
        <f aca="false">IF(ISNUMBER(O16),Q16/O16,IFERROR("SAR "&amp;TEXT(Q16/VALUE(TRIM(MID(O16,FIND("-",O16)+1,20))),"#,##0.00")&amp;" - SAR "&amp;TEXT(Q16/VALUE(TRIM(LEFT(O16,FIND("-",O16)-1))),"#,##0.00"),"-"))</f>
        <v>36469.7425</v>
      </c>
      <c r="S16" s="14" t="n">
        <f aca="false">Q16*(1+$C$4)</f>
        <v>41940.203875</v>
      </c>
      <c r="T16" s="14" t="n">
        <f aca="false">IF(ISNUMBER(O16),S16/O16,IFERROR("SAR "&amp;TEXT(S16/VALUE(TRIM(MID(O16,FIND("-",O16)+1,20))),"#,##0.00")&amp;" - SAR "&amp;TEXT(S16/VALUE(TRIM(LEFT(O16,FIND("-",O16)-1))),"#,##0.00"),"-"))</f>
        <v>41940.203875</v>
      </c>
      <c r="U16" s="9"/>
    </row>
    <row r="17" customFormat="false" ht="33.75" hidden="false" customHeight="true" outlineLevel="0" collapsed="false">
      <c r="A17" s="9"/>
      <c r="B17" s="10"/>
      <c r="C17" s="9"/>
      <c r="D17" s="9"/>
      <c r="E17" s="9"/>
      <c r="F17" s="9"/>
      <c r="G17" s="9"/>
      <c r="H17" s="9"/>
      <c r="I17" s="9"/>
      <c r="J17" s="9"/>
      <c r="K17" s="12"/>
      <c r="L17" s="6" t="s">
        <v>53</v>
      </c>
      <c r="M17" s="13" t="s">
        <v>54</v>
      </c>
      <c r="N17" s="6" t="s">
        <v>25</v>
      </c>
      <c r="O17" s="6" t="n">
        <v>1</v>
      </c>
      <c r="P17" s="5" t="n">
        <f aca="false">1/4</f>
        <v>0.25</v>
      </c>
      <c r="Q17" s="14" t="n">
        <f aca="false">F$15*P17</f>
        <v>36469.7425</v>
      </c>
      <c r="R17" s="14" t="n">
        <f aca="false">IF(ISNUMBER(O17),Q17/O17,IFERROR("SAR "&amp;TEXT(Q17/VALUE(TRIM(MID(O17,FIND("-",O17)+1,20))),"#,##0.00")&amp;" - SAR "&amp;TEXT(Q17/VALUE(TRIM(LEFT(O17,FIND("-",O17)-1))),"#,##0.00"),"-"))</f>
        <v>36469.7425</v>
      </c>
      <c r="S17" s="14" t="n">
        <f aca="false">Q17*(1+$C$4)</f>
        <v>41940.203875</v>
      </c>
      <c r="T17" s="14" t="n">
        <f aca="false">IF(ISNUMBER(O17),S17/O17,IFERROR("SAR "&amp;TEXT(S17/VALUE(TRIM(MID(O17,FIND("-",O17)+1,20))),"#,##0.00")&amp;" - SAR "&amp;TEXT(S17/VALUE(TRIM(LEFT(O17,FIND("-",O17)-1))),"#,##0.00"),"-"))</f>
        <v>41940.203875</v>
      </c>
      <c r="U17" s="9"/>
    </row>
    <row r="18" customFormat="false" ht="33.75" hidden="false" customHeight="true" outlineLevel="0" collapsed="false">
      <c r="A18" s="9"/>
      <c r="B18" s="10"/>
      <c r="C18" s="9"/>
      <c r="D18" s="9"/>
      <c r="E18" s="9"/>
      <c r="F18" s="9"/>
      <c r="G18" s="9"/>
      <c r="H18" s="9"/>
      <c r="I18" s="9"/>
      <c r="J18" s="9"/>
      <c r="K18" s="12"/>
      <c r="L18" s="6" t="s">
        <v>55</v>
      </c>
      <c r="M18" s="13" t="s">
        <v>56</v>
      </c>
      <c r="N18" s="6" t="s">
        <v>25</v>
      </c>
      <c r="O18" s="6" t="n">
        <v>1</v>
      </c>
      <c r="P18" s="5" t="n">
        <f aca="false">1/4</f>
        <v>0.25</v>
      </c>
      <c r="Q18" s="14" t="n">
        <f aca="false">F$15*P18</f>
        <v>36469.7425</v>
      </c>
      <c r="R18" s="14" t="n">
        <f aca="false">IF(ISNUMBER(O18),Q18/O18,IFERROR("SAR "&amp;TEXT(Q18/VALUE(TRIM(MID(O18,FIND("-",O18)+1,20))),"#,##0.00")&amp;" - SAR "&amp;TEXT(Q18/VALUE(TRIM(LEFT(O18,FIND("-",O18)-1))),"#,##0.00"),"-"))</f>
        <v>36469.7425</v>
      </c>
      <c r="S18" s="14" t="n">
        <f aca="false">Q18*(1+$C$4)</f>
        <v>41940.203875</v>
      </c>
      <c r="T18" s="14" t="n">
        <f aca="false">IF(ISNUMBER(O18),S18/O18,IFERROR("SAR "&amp;TEXT(S18/VALUE(TRIM(MID(O18,FIND("-",O18)+1,20))),"#,##0.00")&amp;" - SAR "&amp;TEXT(S18/VALUE(TRIM(LEFT(O18,FIND("-",O18)-1))),"#,##0.00"),"-"))</f>
        <v>41940.203875</v>
      </c>
      <c r="U18" s="9"/>
    </row>
    <row r="19" customFormat="false" ht="33.75" hidden="false" customHeight="true" outlineLevel="0" collapsed="false">
      <c r="A19" s="9" t="n">
        <v>5</v>
      </c>
      <c r="B19" s="10" t="s">
        <v>57</v>
      </c>
      <c r="C19" s="9" t="s">
        <v>58</v>
      </c>
      <c r="D19" s="9" t="n">
        <v>1</v>
      </c>
      <c r="E19" s="5" t="n">
        <v>0.02</v>
      </c>
      <c r="F19" s="11" t="n">
        <f aca="false">ROUND($C$3*E19,2)</f>
        <v>20839.85</v>
      </c>
      <c r="G19" s="11" t="n">
        <f aca="false">IF(ISNUMBER(D19),F19/D19,IFERROR("SAR "&amp;TEXT(F19/VALUE(TRIM(MID(D19,FIND("-",D19)+1,20))),"#,##0.00")&amp;" - SAR "&amp;TEXT(F19/VALUE(TRIM(LEFT(D19,FIND("-",D19)-1))),"#,##0.00"),"-"))</f>
        <v>20839.85</v>
      </c>
      <c r="H19" s="11" t="n">
        <f aca="false">ROUND(F19*$C$4,2)</f>
        <v>3125.98</v>
      </c>
      <c r="I19" s="11" t="n">
        <f aca="false">F19+H19</f>
        <v>23965.83</v>
      </c>
      <c r="J19" s="11" t="n">
        <f aca="false">IF(ISNUMBER(D19),I19/D19,IFERROR("SAR "&amp;TEXT(I19/VALUE(TRIM(MID(D19,FIND("-",D19)+1,20))),"#,##0.00")&amp;" - SAR "&amp;TEXT(I19/VALUE(TRIM(LEFT(D19,FIND("-",D19)-1))),"#,##0.00"),"-"))</f>
        <v>23965.83</v>
      </c>
      <c r="K19" s="12" t="s">
        <v>59</v>
      </c>
      <c r="L19" s="6" t="s">
        <v>60</v>
      </c>
      <c r="M19" s="13" t="s">
        <v>57</v>
      </c>
      <c r="N19" s="6" t="s">
        <v>58</v>
      </c>
      <c r="O19" s="6" t="n">
        <v>1</v>
      </c>
      <c r="P19" s="5" t="n">
        <v>1</v>
      </c>
      <c r="Q19" s="14" t="n">
        <f aca="false">F$19*P19</f>
        <v>20839.85</v>
      </c>
      <c r="R19" s="14" t="n">
        <f aca="false">IF(ISNUMBER(O19),Q19/O19,IFERROR("SAR "&amp;TEXT(Q19/VALUE(TRIM(MID(O19,FIND("-",O19)+1,20))),"#,##0.00")&amp;" - SAR "&amp;TEXT(Q19/VALUE(TRIM(LEFT(O19,FIND("-",O19)-1))),"#,##0.00"),"-"))</f>
        <v>20839.85</v>
      </c>
      <c r="S19" s="14" t="n">
        <f aca="false">Q19*(1+$C$4)</f>
        <v>23965.8275</v>
      </c>
      <c r="T19" s="14" t="n">
        <f aca="false">IF(ISNUMBER(O19),S19/O19,IFERROR("SAR "&amp;TEXT(S19/VALUE(TRIM(MID(O19,FIND("-",O19)+1,20))),"#,##0.00")&amp;" - SAR "&amp;TEXT(S19/VALUE(TRIM(LEFT(O19,FIND("-",O19)-1))),"#,##0.00"),"-"))</f>
        <v>23965.8275</v>
      </c>
      <c r="U19" s="9" t="str">
        <f aca="false">IF(AND(ABS(SUM(P19:P19)-1)&lt;0.000001,ABS(SUM(Q19:Q19)-F19)&lt;0.005),"✓ مطابق","✗ راجع النسب")</f>
        <v>✓ مطابق</v>
      </c>
    </row>
    <row r="20" customFormat="false" ht="33.75" hidden="false" customHeight="true" outlineLevel="0" collapsed="false">
      <c r="A20" s="9" t="n">
        <v>6</v>
      </c>
      <c r="B20" s="10" t="s">
        <v>61</v>
      </c>
      <c r="C20" s="9" t="s">
        <v>25</v>
      </c>
      <c r="D20" s="9" t="n">
        <v>1</v>
      </c>
      <c r="E20" s="5" t="n">
        <v>0.1</v>
      </c>
      <c r="F20" s="11" t="n">
        <f aca="false">ROUND($C$3*E20,2)</f>
        <v>104199.26</v>
      </c>
      <c r="G20" s="11" t="n">
        <f aca="false">IF(ISNUMBER(D20),F20/D20,IFERROR("SAR "&amp;TEXT(F20/VALUE(TRIM(MID(D20,FIND("-",D20)+1,20))),"#,##0.00")&amp;" - SAR "&amp;TEXT(F20/VALUE(TRIM(LEFT(D20,FIND("-",D20)-1))),"#,##0.00"),"-"))</f>
        <v>104199.26</v>
      </c>
      <c r="H20" s="11" t="n">
        <f aca="false">ROUND(F20*$C$4,2)</f>
        <v>15629.89</v>
      </c>
      <c r="I20" s="11" t="n">
        <f aca="false">F20+H20</f>
        <v>119829.15</v>
      </c>
      <c r="J20" s="11" t="n">
        <f aca="false">IF(ISNUMBER(D20),I20/D20,IFERROR("SAR "&amp;TEXT(I20/VALUE(TRIM(MID(D20,FIND("-",D20)+1,20))),"#,##0.00")&amp;" - SAR "&amp;TEXT(I20/VALUE(TRIM(LEFT(D20,FIND("-",D20)-1))),"#,##0.00"),"-"))</f>
        <v>119829.15</v>
      </c>
      <c r="K20" s="12" t="s">
        <v>62</v>
      </c>
      <c r="L20" s="6" t="s">
        <v>63</v>
      </c>
      <c r="M20" s="13" t="s">
        <v>64</v>
      </c>
      <c r="N20" s="6" t="s">
        <v>25</v>
      </c>
      <c r="O20" s="6" t="n">
        <v>1</v>
      </c>
      <c r="P20" s="5" t="n">
        <v>1</v>
      </c>
      <c r="Q20" s="14" t="n">
        <f aca="false">F$20*P20</f>
        <v>104199.26</v>
      </c>
      <c r="R20" s="14" t="n">
        <f aca="false">IF(ISNUMBER(O20),Q20/O20,IFERROR("SAR "&amp;TEXT(Q20/VALUE(TRIM(MID(O20,FIND("-",O20)+1,20))),"#,##0.00")&amp;" - SAR "&amp;TEXT(Q20/VALUE(TRIM(LEFT(O20,FIND("-",O20)-1))),"#,##0.00"),"-"))</f>
        <v>104199.26</v>
      </c>
      <c r="S20" s="14" t="n">
        <f aca="false">Q20*(1+$C$4)</f>
        <v>119829.149</v>
      </c>
      <c r="T20" s="14" t="n">
        <f aca="false">IF(ISNUMBER(O20),S20/O20,IFERROR("SAR "&amp;TEXT(S20/VALUE(TRIM(MID(O20,FIND("-",O20)+1,20))),"#,##0.00")&amp;" - SAR "&amp;TEXT(S20/VALUE(TRIM(LEFT(O20,FIND("-",O20)-1))),"#,##0.00"),"-"))</f>
        <v>119829.149</v>
      </c>
      <c r="U20" s="9" t="str">
        <f aca="false">IF(AND(ABS(SUM(P20:P20)-1)&lt;0.000001,ABS(SUM(Q20:Q20)-F20)&lt;0.005),"✓ مطابق","✗ راجع النسب")</f>
        <v>✓ مطابق</v>
      </c>
    </row>
    <row r="21" customFormat="false" ht="33.75" hidden="false" customHeight="true" outlineLevel="0" collapsed="false">
      <c r="A21" s="9" t="n">
        <v>7</v>
      </c>
      <c r="B21" s="10" t="s">
        <v>65</v>
      </c>
      <c r="C21" s="9" t="s">
        <v>66</v>
      </c>
      <c r="D21" s="9" t="n">
        <v>1</v>
      </c>
      <c r="E21" s="5" t="n">
        <v>0.02</v>
      </c>
      <c r="F21" s="11" t="n">
        <f aca="false">ROUND($C$3*E21,2)</f>
        <v>20839.85</v>
      </c>
      <c r="G21" s="11" t="n">
        <f aca="false">IF(ISNUMBER(D21),F21/D21,IFERROR("SAR "&amp;TEXT(F21/VALUE(TRIM(MID(D21,FIND("-",D21)+1,20))),"#,##0.00")&amp;" - SAR "&amp;TEXT(F21/VALUE(TRIM(LEFT(D21,FIND("-",D21)-1))),"#,##0.00"),"-"))</f>
        <v>20839.85</v>
      </c>
      <c r="H21" s="11" t="n">
        <f aca="false">ROUND(F21*$C$4,2)</f>
        <v>3125.98</v>
      </c>
      <c r="I21" s="11" t="n">
        <f aca="false">F21+H21</f>
        <v>23965.83</v>
      </c>
      <c r="J21" s="11" t="n">
        <f aca="false">IF(ISNUMBER(D21),I21/D21,IFERROR("SAR "&amp;TEXT(I21/VALUE(TRIM(MID(D21,FIND("-",D21)+1,20))),"#,##0.00")&amp;" - SAR "&amp;TEXT(I21/VALUE(TRIM(LEFT(D21,FIND("-",D21)-1))),"#,##0.00"),"-"))</f>
        <v>23965.83</v>
      </c>
      <c r="K21" s="12" t="s">
        <v>59</v>
      </c>
      <c r="L21" s="6" t="s">
        <v>67</v>
      </c>
      <c r="M21" s="13" t="s">
        <v>68</v>
      </c>
      <c r="N21" s="6" t="s">
        <v>66</v>
      </c>
      <c r="O21" s="6" t="n">
        <v>1</v>
      </c>
      <c r="P21" s="5" t="n">
        <v>1</v>
      </c>
      <c r="Q21" s="14" t="n">
        <f aca="false">F$21*P21</f>
        <v>20839.85</v>
      </c>
      <c r="R21" s="14" t="n">
        <f aca="false">IF(ISNUMBER(O21),Q21/O21,IFERROR("SAR "&amp;TEXT(Q21/VALUE(TRIM(MID(O21,FIND("-",O21)+1,20))),"#,##0.00")&amp;" - SAR "&amp;TEXT(Q21/VALUE(TRIM(LEFT(O21,FIND("-",O21)-1))),"#,##0.00"),"-"))</f>
        <v>20839.85</v>
      </c>
      <c r="S21" s="14" t="n">
        <f aca="false">Q21*(1+$C$4)</f>
        <v>23965.8275</v>
      </c>
      <c r="T21" s="14" t="n">
        <f aca="false">IF(ISNUMBER(O21),S21/O21,IFERROR("SAR "&amp;TEXT(S21/VALUE(TRIM(MID(O21,FIND("-",O21)+1,20))),"#,##0.00")&amp;" - SAR "&amp;TEXT(S21/VALUE(TRIM(LEFT(O21,FIND("-",O21)-1))),"#,##0.00"),"-"))</f>
        <v>23965.8275</v>
      </c>
      <c r="U21" s="9" t="str">
        <f aca="false">IF(AND(ABS(SUM(P21:P21)-1)&lt;0.000001,ABS(SUM(Q21:Q21)-F21)&lt;0.005),"✓ مطابق","✗ راجع النسب")</f>
        <v>✓ مطابق</v>
      </c>
    </row>
    <row r="22" customFormat="false" ht="33.75" hidden="false" customHeight="true" outlineLevel="0" collapsed="false">
      <c r="A22" s="9" t="n">
        <v>8</v>
      </c>
      <c r="B22" s="10" t="s">
        <v>69</v>
      </c>
      <c r="C22" s="9" t="s">
        <v>70</v>
      </c>
      <c r="D22" s="9" t="n">
        <v>1</v>
      </c>
      <c r="E22" s="5" t="n">
        <v>0.1</v>
      </c>
      <c r="F22" s="11" t="n">
        <f aca="false">ROUND($C$3*E22,2)</f>
        <v>104199.26</v>
      </c>
      <c r="G22" s="11" t="n">
        <f aca="false">IF(ISNUMBER(D22),F22/D22,IFERROR("SAR "&amp;TEXT(F22/VALUE(TRIM(MID(D22,FIND("-",D22)+1,20))),"#,##0.00")&amp;" - SAR "&amp;TEXT(F22/VALUE(TRIM(LEFT(D22,FIND("-",D22)-1))),"#,##0.00"),"-"))</f>
        <v>104199.26</v>
      </c>
      <c r="H22" s="11" t="n">
        <f aca="false">ROUND(F22*$C$4,2)</f>
        <v>15629.89</v>
      </c>
      <c r="I22" s="11" t="n">
        <f aca="false">F22+H22</f>
        <v>119829.15</v>
      </c>
      <c r="J22" s="11" t="n">
        <f aca="false">IF(ISNUMBER(D22),I22/D22,IFERROR("SAR "&amp;TEXT(I22/VALUE(TRIM(MID(D22,FIND("-",D22)+1,20))),"#,##0.00")&amp;" - SAR "&amp;TEXT(I22/VALUE(TRIM(LEFT(D22,FIND("-",D22)-1))),"#,##0.00"),"-"))</f>
        <v>119829.15</v>
      </c>
      <c r="K22" s="12" t="s">
        <v>62</v>
      </c>
      <c r="L22" s="6" t="s">
        <v>71</v>
      </c>
      <c r="M22" s="13" t="s">
        <v>72</v>
      </c>
      <c r="N22" s="6" t="s">
        <v>70</v>
      </c>
      <c r="O22" s="6" t="n">
        <v>1</v>
      </c>
      <c r="P22" s="5" t="n">
        <f aca="false">1/2</f>
        <v>0.5</v>
      </c>
      <c r="Q22" s="14" t="n">
        <f aca="false">F$22*P22</f>
        <v>52099.63</v>
      </c>
      <c r="R22" s="14" t="n">
        <f aca="false">IF(ISNUMBER(O22),Q22/O22,IFERROR("SAR "&amp;TEXT(Q22/VALUE(TRIM(MID(O22,FIND("-",O22)+1,20))),"#,##0.00")&amp;" - SAR "&amp;TEXT(Q22/VALUE(TRIM(LEFT(O22,FIND("-",O22)-1))),"#,##0.00"),"-"))</f>
        <v>52099.63</v>
      </c>
      <c r="S22" s="14" t="n">
        <f aca="false">Q22*(1+$C$4)</f>
        <v>59914.5745</v>
      </c>
      <c r="T22" s="14" t="n">
        <f aca="false">IF(ISNUMBER(O22),S22/O22,IFERROR("SAR "&amp;TEXT(S22/VALUE(TRIM(MID(O22,FIND("-",O22)+1,20))),"#,##0.00")&amp;" - SAR "&amp;TEXT(S22/VALUE(TRIM(LEFT(O22,FIND("-",O22)-1))),"#,##0.00"),"-"))</f>
        <v>59914.5745</v>
      </c>
      <c r="U22" s="9" t="str">
        <f aca="false">IF(AND(ABS(SUM(P22:P23)-1)&lt;0.000001,ABS(SUM(Q22:Q23)-F22)&lt;0.005),"✓ مطابق","✗ راجع النسب")</f>
        <v>✓ مطابق</v>
      </c>
    </row>
    <row r="23" customFormat="false" ht="33.75" hidden="false" customHeight="true" outlineLevel="0" collapsed="false">
      <c r="A23" s="9"/>
      <c r="B23" s="10"/>
      <c r="C23" s="9"/>
      <c r="D23" s="9"/>
      <c r="E23" s="9"/>
      <c r="F23" s="9"/>
      <c r="G23" s="9"/>
      <c r="H23" s="9"/>
      <c r="I23" s="9"/>
      <c r="J23" s="9"/>
      <c r="K23" s="12"/>
      <c r="L23" s="6" t="s">
        <v>73</v>
      </c>
      <c r="M23" s="13" t="s">
        <v>74</v>
      </c>
      <c r="N23" s="6" t="s">
        <v>75</v>
      </c>
      <c r="O23" s="6" t="s">
        <v>76</v>
      </c>
      <c r="P23" s="5" t="n">
        <f aca="false">1/2</f>
        <v>0.5</v>
      </c>
      <c r="Q23" s="14" t="n">
        <f aca="false">F$22*P23</f>
        <v>52099.63</v>
      </c>
      <c r="R23" s="14" t="str">
        <f aca="false">IF(ISNUMBER(O23),Q23/O23,IFERROR("SAR "&amp;TEXT(Q23/VALUE(TRIM(MID(O23,FIND("-",O23)+1,20))),"#,##0.00")&amp;" - SAR "&amp;TEXT(Q23/VALUE(TRIM(LEFT(O23,FIND("-",O23)-1))),"#,##0.00"),"-"))</f>
        <v>SAR 236.82 - SAR 289.44</v>
      </c>
      <c r="S23" s="14" t="n">
        <f aca="false">Q23*(1+$C$4)</f>
        <v>59914.5745</v>
      </c>
      <c r="T23" s="14" t="str">
        <f aca="false">IF(ISNUMBER(O23),S23/O23,IFERROR("SAR "&amp;TEXT(S23/VALUE(TRIM(MID(O23,FIND("-",O23)+1,20))),"#,##0.00")&amp;" - SAR "&amp;TEXT(S23/VALUE(TRIM(LEFT(O23,FIND("-",O23)-1))),"#,##0.00"),"-"))</f>
        <v>SAR 272.34 - SAR 332.86</v>
      </c>
      <c r="U23" s="9"/>
    </row>
    <row r="24" customFormat="false" ht="33.75" hidden="false" customHeight="true" outlineLevel="0" collapsed="false">
      <c r="A24" s="9" t="n">
        <v>9</v>
      </c>
      <c r="B24" s="10" t="s">
        <v>77</v>
      </c>
      <c r="C24" s="9" t="s">
        <v>25</v>
      </c>
      <c r="D24" s="9" t="n">
        <v>1</v>
      </c>
      <c r="E24" s="5" t="n">
        <v>0.07</v>
      </c>
      <c r="F24" s="11" t="n">
        <f aca="false">ROUND($C$3*E24,2)</f>
        <v>72939.48</v>
      </c>
      <c r="G24" s="11" t="n">
        <f aca="false">IF(ISNUMBER(D24),F24/D24,IFERROR("SAR "&amp;TEXT(F24/VALUE(TRIM(MID(D24,FIND("-",D24)+1,20))),"#,##0.00")&amp;" - SAR "&amp;TEXT(F24/VALUE(TRIM(LEFT(D24,FIND("-",D24)-1))),"#,##0.00"),"-"))</f>
        <v>72939.48</v>
      </c>
      <c r="H24" s="11" t="n">
        <f aca="false">ROUND(F24*$C$4,2)</f>
        <v>10940.92</v>
      </c>
      <c r="I24" s="11" t="n">
        <f aca="false">F24+H24</f>
        <v>83880.4</v>
      </c>
      <c r="J24" s="11" t="n">
        <f aca="false">IF(ISNUMBER(D24),I24/D24,IFERROR("SAR "&amp;TEXT(I24/VALUE(TRIM(MID(D24,FIND("-",D24)+1,20))),"#,##0.00")&amp;" - SAR "&amp;TEXT(I24/VALUE(TRIM(LEFT(D24,FIND("-",D24)-1))),"#,##0.00"),"-"))</f>
        <v>83880.4</v>
      </c>
      <c r="K24" s="12" t="s">
        <v>78</v>
      </c>
      <c r="L24" s="6" t="s">
        <v>79</v>
      </c>
      <c r="M24" s="13" t="s">
        <v>80</v>
      </c>
      <c r="N24" s="6" t="s">
        <v>25</v>
      </c>
      <c r="O24" s="6" t="n">
        <v>1</v>
      </c>
      <c r="P24" s="5" t="n">
        <v>1</v>
      </c>
      <c r="Q24" s="14" t="n">
        <f aca="false">F$24*P24</f>
        <v>72939.48</v>
      </c>
      <c r="R24" s="14" t="n">
        <f aca="false">IF(ISNUMBER(O24),Q24/O24,IFERROR("SAR "&amp;TEXT(Q24/VALUE(TRIM(MID(O24,FIND("-",O24)+1,20))),"#,##0.00")&amp;" - SAR "&amp;TEXT(Q24/VALUE(TRIM(LEFT(O24,FIND("-",O24)-1))),"#,##0.00"),"-"))</f>
        <v>72939.48</v>
      </c>
      <c r="S24" s="14" t="n">
        <f aca="false">Q24*(1+$C$4)</f>
        <v>83880.402</v>
      </c>
      <c r="T24" s="14" t="n">
        <f aca="false">IF(ISNUMBER(O24),S24/O24,IFERROR("SAR "&amp;TEXT(S24/VALUE(TRIM(MID(O24,FIND("-",O24)+1,20))),"#,##0.00")&amp;" - SAR "&amp;TEXT(S24/VALUE(TRIM(LEFT(O24,FIND("-",O24)-1))),"#,##0.00"),"-"))</f>
        <v>83880.402</v>
      </c>
      <c r="U24" s="9" t="str">
        <f aca="false">IF(AND(ABS(SUM(P24:P24)-1)&lt;0.000001,ABS(SUM(Q24:Q24)-F24)&lt;0.005),"✓ مطابق","✗ راجع النسب")</f>
        <v>✓ مطابق</v>
      </c>
    </row>
    <row r="25" customFormat="false" ht="33.75" hidden="false" customHeight="true" outlineLevel="0" collapsed="false">
      <c r="A25" s="9" t="n">
        <v>10</v>
      </c>
      <c r="B25" s="10" t="s">
        <v>81</v>
      </c>
      <c r="C25" s="9" t="s">
        <v>82</v>
      </c>
      <c r="D25" s="9" t="n">
        <v>5</v>
      </c>
      <c r="E25" s="5" t="n">
        <v>0.15</v>
      </c>
      <c r="F25" s="11" t="n">
        <f aca="false">ROUND($C$3*E25,2)</f>
        <v>156298.89</v>
      </c>
      <c r="G25" s="11" t="n">
        <f aca="false">IF(ISNUMBER(D25),F25/D25,IFERROR("SAR "&amp;TEXT(F25/VALUE(TRIM(MID(D25,FIND("-",D25)+1,20))),"#,##0.00")&amp;" - SAR "&amp;TEXT(F25/VALUE(TRIM(LEFT(D25,FIND("-",D25)-1))),"#,##0.00"),"-"))</f>
        <v>31259.778</v>
      </c>
      <c r="H25" s="11" t="n">
        <f aca="false">ROUND(F25*$C$4,2)</f>
        <v>23444.83</v>
      </c>
      <c r="I25" s="11" t="n">
        <f aca="false">F25+H25</f>
        <v>179743.72</v>
      </c>
      <c r="J25" s="11" t="n">
        <f aca="false">IF(ISNUMBER(D25),I25/D25,IFERROR("SAR "&amp;TEXT(I25/VALUE(TRIM(MID(D25,FIND("-",D25)+1,20))),"#,##0.00")&amp;" - SAR "&amp;TEXT(I25/VALUE(TRIM(LEFT(D25,FIND("-",D25)-1))),"#,##0.00"),"-"))</f>
        <v>35948.744</v>
      </c>
      <c r="K25" s="12" t="s">
        <v>83</v>
      </c>
      <c r="L25" s="6" t="s">
        <v>84</v>
      </c>
      <c r="M25" s="13" t="s">
        <v>85</v>
      </c>
      <c r="N25" s="6" t="s">
        <v>86</v>
      </c>
      <c r="O25" s="6" t="n">
        <v>1</v>
      </c>
      <c r="P25" s="5" t="n">
        <f aca="false">1/3</f>
        <v>0.333333333333333</v>
      </c>
      <c r="Q25" s="14" t="n">
        <f aca="false">F$25*P25</f>
        <v>52099.63</v>
      </c>
      <c r="R25" s="14" t="n">
        <f aca="false">IF(ISNUMBER(O25),Q25/O25,IFERROR("SAR "&amp;TEXT(Q25/VALUE(TRIM(MID(O25,FIND("-",O25)+1,20))),"#,##0.00")&amp;" - SAR "&amp;TEXT(Q25/VALUE(TRIM(LEFT(O25,FIND("-",O25)-1))),"#,##0.00"),"-"))</f>
        <v>52099.63</v>
      </c>
      <c r="S25" s="14" t="n">
        <f aca="false">Q25*(1+$C$4)</f>
        <v>59914.5745</v>
      </c>
      <c r="T25" s="14" t="n">
        <f aca="false">IF(ISNUMBER(O25),S25/O25,IFERROR("SAR "&amp;TEXT(S25/VALUE(TRIM(MID(O25,FIND("-",O25)+1,20))),"#,##0.00")&amp;" - SAR "&amp;TEXT(S25/VALUE(TRIM(LEFT(O25,FIND("-",O25)-1))),"#,##0.00"),"-"))</f>
        <v>59914.5745</v>
      </c>
      <c r="U25" s="9" t="str">
        <f aca="false">IF(AND(ABS(SUM(P25:P27)-1)&lt;0.000001,ABS(SUM(Q25:Q27)-F25)&lt;0.005),"✓ مطابق","✗ راجع النسب")</f>
        <v>✓ مطابق</v>
      </c>
    </row>
    <row r="26" customFormat="false" ht="33.75" hidden="false" customHeight="true" outlineLevel="0" collapsed="false">
      <c r="A26" s="9"/>
      <c r="B26" s="10"/>
      <c r="C26" s="9"/>
      <c r="D26" s="9"/>
      <c r="E26" s="9"/>
      <c r="F26" s="9"/>
      <c r="G26" s="9"/>
      <c r="H26" s="9"/>
      <c r="I26" s="9"/>
      <c r="J26" s="9"/>
      <c r="K26" s="12"/>
      <c r="L26" s="6" t="s">
        <v>87</v>
      </c>
      <c r="M26" s="13" t="s">
        <v>88</v>
      </c>
      <c r="N26" s="6" t="s">
        <v>89</v>
      </c>
      <c r="O26" s="6" t="n">
        <v>3</v>
      </c>
      <c r="P26" s="5" t="n">
        <f aca="false">1/3</f>
        <v>0.333333333333333</v>
      </c>
      <c r="Q26" s="14" t="n">
        <f aca="false">F$25*P26</f>
        <v>52099.63</v>
      </c>
      <c r="R26" s="14" t="n">
        <f aca="false">IF(ISNUMBER(O26),Q26/O26,IFERROR("SAR "&amp;TEXT(Q26/VALUE(TRIM(MID(O26,FIND("-",O26)+1,20))),"#,##0.00")&amp;" - SAR "&amp;TEXT(Q26/VALUE(TRIM(LEFT(O26,FIND("-",O26)-1))),"#,##0.00"),"-"))</f>
        <v>17366.5433333333</v>
      </c>
      <c r="S26" s="14" t="n">
        <f aca="false">Q26*(1+$C$4)</f>
        <v>59914.5745</v>
      </c>
      <c r="T26" s="14" t="n">
        <f aca="false">IF(ISNUMBER(O26),S26/O26,IFERROR("SAR "&amp;TEXT(S26/VALUE(TRIM(MID(O26,FIND("-",O26)+1,20))),"#,##0.00")&amp;" - SAR "&amp;TEXT(S26/VALUE(TRIM(LEFT(O26,FIND("-",O26)-1))),"#,##0.00"),"-"))</f>
        <v>19971.5248333333</v>
      </c>
      <c r="U26" s="9"/>
    </row>
    <row r="27" customFormat="false" ht="33.75" hidden="false" customHeight="true" outlineLevel="0" collapsed="false">
      <c r="A27" s="9"/>
      <c r="B27" s="10"/>
      <c r="C27" s="9"/>
      <c r="D27" s="9"/>
      <c r="E27" s="9"/>
      <c r="F27" s="9"/>
      <c r="G27" s="9"/>
      <c r="H27" s="9"/>
      <c r="I27" s="9"/>
      <c r="J27" s="9"/>
      <c r="K27" s="12"/>
      <c r="L27" s="6" t="s">
        <v>90</v>
      </c>
      <c r="M27" s="13" t="s">
        <v>91</v>
      </c>
      <c r="N27" s="6" t="s">
        <v>86</v>
      </c>
      <c r="O27" s="6" t="n">
        <v>1</v>
      </c>
      <c r="P27" s="5" t="n">
        <f aca="false">1/3</f>
        <v>0.333333333333333</v>
      </c>
      <c r="Q27" s="14" t="n">
        <f aca="false">F$25*P27</f>
        <v>52099.63</v>
      </c>
      <c r="R27" s="14" t="n">
        <f aca="false">IF(ISNUMBER(O27),Q27/O27,IFERROR("SAR "&amp;TEXT(Q27/VALUE(TRIM(MID(O27,FIND("-",O27)+1,20))),"#,##0.00")&amp;" - SAR "&amp;TEXT(Q27/VALUE(TRIM(LEFT(O27,FIND("-",O27)-1))),"#,##0.00"),"-"))</f>
        <v>52099.63</v>
      </c>
      <c r="S27" s="14" t="n">
        <f aca="false">Q27*(1+$C$4)</f>
        <v>59914.5745</v>
      </c>
      <c r="T27" s="14" t="n">
        <f aca="false">IF(ISNUMBER(O27),S27/O27,IFERROR("SAR "&amp;TEXT(S27/VALUE(TRIM(MID(O27,FIND("-",O27)+1,20))),"#,##0.00")&amp;" - SAR "&amp;TEXT(S27/VALUE(TRIM(LEFT(O27,FIND("-",O27)-1))),"#,##0.00"),"-"))</f>
        <v>59914.5745</v>
      </c>
      <c r="U27" s="9"/>
    </row>
    <row r="28" customFormat="false" ht="33.75" hidden="false" customHeight="true" outlineLevel="0" collapsed="false">
      <c r="A28" s="9" t="n">
        <v>11</v>
      </c>
      <c r="B28" s="10" t="s">
        <v>92</v>
      </c>
      <c r="C28" s="9" t="s">
        <v>93</v>
      </c>
      <c r="D28" s="9" t="n">
        <v>1</v>
      </c>
      <c r="E28" s="5" t="n">
        <v>0.2</v>
      </c>
      <c r="F28" s="11" t="n">
        <f aca="false">ROUND($C$3*E28,2)</f>
        <v>208398.52</v>
      </c>
      <c r="G28" s="11" t="n">
        <f aca="false">IF(ISNUMBER(D28),F28/D28,IFERROR("SAR "&amp;TEXT(F28/VALUE(TRIM(MID(D28,FIND("-",D28)+1,20))),"#,##0.00")&amp;" - SAR "&amp;TEXT(F28/VALUE(TRIM(LEFT(D28,FIND("-",D28)-1))),"#,##0.00"),"-"))</f>
        <v>208398.52</v>
      </c>
      <c r="H28" s="11" t="n">
        <f aca="false">ROUND(F28*$C$4,2)</f>
        <v>31259.78</v>
      </c>
      <c r="I28" s="11" t="n">
        <f aca="false">F28+H28</f>
        <v>239658.3</v>
      </c>
      <c r="J28" s="11" t="n">
        <f aca="false">IF(ISNUMBER(D28),I28/D28,IFERROR("SAR "&amp;TEXT(I28/VALUE(TRIM(MID(D28,FIND("-",D28)+1,20))),"#,##0.00")&amp;" - SAR "&amp;TEXT(I28/VALUE(TRIM(LEFT(D28,FIND("-",D28)-1))),"#,##0.00"),"-"))</f>
        <v>239658.3</v>
      </c>
      <c r="K28" s="12" t="s">
        <v>94</v>
      </c>
      <c r="L28" s="6" t="s">
        <v>95</v>
      </c>
      <c r="M28" s="13" t="s">
        <v>96</v>
      </c>
      <c r="N28" s="6" t="s">
        <v>25</v>
      </c>
      <c r="O28" s="6" t="n">
        <v>1</v>
      </c>
      <c r="P28" s="5" t="n">
        <f aca="false">1/4</f>
        <v>0.25</v>
      </c>
      <c r="Q28" s="14" t="n">
        <f aca="false">F$28*P28</f>
        <v>52099.63</v>
      </c>
      <c r="R28" s="14" t="n">
        <f aca="false">IF(ISNUMBER(O28),Q28/O28,IFERROR("SAR "&amp;TEXT(Q28/VALUE(TRIM(MID(O28,FIND("-",O28)+1,20))),"#,##0.00")&amp;" - SAR "&amp;TEXT(Q28/VALUE(TRIM(LEFT(O28,FIND("-",O28)-1))),"#,##0.00"),"-"))</f>
        <v>52099.63</v>
      </c>
      <c r="S28" s="14" t="n">
        <f aca="false">Q28*(1+$C$4)</f>
        <v>59914.5745</v>
      </c>
      <c r="T28" s="14" t="n">
        <f aca="false">IF(ISNUMBER(O28),S28/O28,IFERROR("SAR "&amp;TEXT(S28/VALUE(TRIM(MID(O28,FIND("-",O28)+1,20))),"#,##0.00")&amp;" - SAR "&amp;TEXT(S28/VALUE(TRIM(LEFT(O28,FIND("-",O28)-1))),"#,##0.00"),"-"))</f>
        <v>59914.5745</v>
      </c>
      <c r="U28" s="9" t="str">
        <f aca="false">IF(AND(ABS(SUM(P28:P31)-1)&lt;0.000001,ABS(SUM(Q28:Q31)-F28)&lt;0.005),"✓ مطابق","✗ راجع النسب")</f>
        <v>✓ مطابق</v>
      </c>
    </row>
    <row r="29" customFormat="false" ht="33.75" hidden="false" customHeight="true" outlineLevel="0" collapsed="false">
      <c r="A29" s="9"/>
      <c r="B29" s="10"/>
      <c r="C29" s="9"/>
      <c r="D29" s="9"/>
      <c r="E29" s="9"/>
      <c r="F29" s="9"/>
      <c r="G29" s="9"/>
      <c r="H29" s="9"/>
      <c r="I29" s="9"/>
      <c r="J29" s="9"/>
      <c r="K29" s="12"/>
      <c r="L29" s="6" t="s">
        <v>97</v>
      </c>
      <c r="M29" s="13" t="s">
        <v>98</v>
      </c>
      <c r="N29" s="6" t="s">
        <v>25</v>
      </c>
      <c r="O29" s="6" t="n">
        <v>1</v>
      </c>
      <c r="P29" s="5" t="n">
        <f aca="false">1/4</f>
        <v>0.25</v>
      </c>
      <c r="Q29" s="14" t="n">
        <f aca="false">F$28*P29</f>
        <v>52099.63</v>
      </c>
      <c r="R29" s="14" t="n">
        <f aca="false">IF(ISNUMBER(O29),Q29/O29,IFERROR("SAR "&amp;TEXT(Q29/VALUE(TRIM(MID(O29,FIND("-",O29)+1,20))),"#,##0.00")&amp;" - SAR "&amp;TEXT(Q29/VALUE(TRIM(LEFT(O29,FIND("-",O29)-1))),"#,##0.00"),"-"))</f>
        <v>52099.63</v>
      </c>
      <c r="S29" s="14" t="n">
        <f aca="false">Q29*(1+$C$4)</f>
        <v>59914.5745</v>
      </c>
      <c r="T29" s="14" t="n">
        <f aca="false">IF(ISNUMBER(O29),S29/O29,IFERROR("SAR "&amp;TEXT(S29/VALUE(TRIM(MID(O29,FIND("-",O29)+1,20))),"#,##0.00")&amp;" - SAR "&amp;TEXT(S29/VALUE(TRIM(LEFT(O29,FIND("-",O29)-1))),"#,##0.00"),"-"))</f>
        <v>59914.5745</v>
      </c>
      <c r="U29" s="9"/>
    </row>
    <row r="30" customFormat="false" ht="33.75" hidden="false" customHeight="true" outlineLevel="0" collapsed="false">
      <c r="A30" s="9"/>
      <c r="B30" s="10"/>
      <c r="C30" s="9"/>
      <c r="D30" s="9"/>
      <c r="E30" s="9"/>
      <c r="F30" s="9"/>
      <c r="G30" s="9"/>
      <c r="H30" s="9"/>
      <c r="I30" s="9"/>
      <c r="J30" s="9"/>
      <c r="K30" s="12"/>
      <c r="L30" s="6" t="s">
        <v>99</v>
      </c>
      <c r="M30" s="13" t="s">
        <v>100</v>
      </c>
      <c r="N30" s="6" t="s">
        <v>101</v>
      </c>
      <c r="O30" s="6" t="n">
        <v>1</v>
      </c>
      <c r="P30" s="5" t="n">
        <f aca="false">1/4</f>
        <v>0.25</v>
      </c>
      <c r="Q30" s="14" t="n">
        <f aca="false">F$28*P30</f>
        <v>52099.63</v>
      </c>
      <c r="R30" s="14" t="n">
        <f aca="false">IF(ISNUMBER(O30),Q30/O30,IFERROR("SAR "&amp;TEXT(Q30/VALUE(TRIM(MID(O30,FIND("-",O30)+1,20))),"#,##0.00")&amp;" - SAR "&amp;TEXT(Q30/VALUE(TRIM(LEFT(O30,FIND("-",O30)-1))),"#,##0.00"),"-"))</f>
        <v>52099.63</v>
      </c>
      <c r="S30" s="14" t="n">
        <f aca="false">Q30*(1+$C$4)</f>
        <v>59914.5745</v>
      </c>
      <c r="T30" s="14" t="n">
        <f aca="false">IF(ISNUMBER(O30),S30/O30,IFERROR("SAR "&amp;TEXT(S30/VALUE(TRIM(MID(O30,FIND("-",O30)+1,20))),"#,##0.00")&amp;" - SAR "&amp;TEXT(S30/VALUE(TRIM(LEFT(O30,FIND("-",O30)-1))),"#,##0.00"),"-"))</f>
        <v>59914.5745</v>
      </c>
      <c r="U30" s="9"/>
    </row>
    <row r="31" customFormat="false" ht="33.75" hidden="false" customHeight="true" outlineLevel="0" collapsed="false">
      <c r="A31" s="9"/>
      <c r="B31" s="10"/>
      <c r="C31" s="9"/>
      <c r="D31" s="9"/>
      <c r="E31" s="9"/>
      <c r="F31" s="9"/>
      <c r="G31" s="9"/>
      <c r="H31" s="9"/>
      <c r="I31" s="9"/>
      <c r="J31" s="9"/>
      <c r="K31" s="12"/>
      <c r="L31" s="6" t="s">
        <v>102</v>
      </c>
      <c r="M31" s="13" t="s">
        <v>103</v>
      </c>
      <c r="N31" s="6" t="s">
        <v>58</v>
      </c>
      <c r="O31" s="6" t="n">
        <v>1</v>
      </c>
      <c r="P31" s="5" t="n">
        <f aca="false">1/4</f>
        <v>0.25</v>
      </c>
      <c r="Q31" s="14" t="n">
        <f aca="false">F$28*P31</f>
        <v>52099.63</v>
      </c>
      <c r="R31" s="14" t="n">
        <f aca="false">IF(ISNUMBER(O31),Q31/O31,IFERROR("SAR "&amp;TEXT(Q31/VALUE(TRIM(MID(O31,FIND("-",O31)+1,20))),"#,##0.00")&amp;" - SAR "&amp;TEXT(Q31/VALUE(TRIM(LEFT(O31,FIND("-",O31)-1))),"#,##0.00"),"-"))</f>
        <v>52099.63</v>
      </c>
      <c r="S31" s="14" t="n">
        <f aca="false">Q31*(1+$C$4)</f>
        <v>59914.5745</v>
      </c>
      <c r="T31" s="14" t="n">
        <f aca="false">IF(ISNUMBER(O31),S31/O31,IFERROR("SAR "&amp;TEXT(S31/VALUE(TRIM(MID(O31,FIND("-",O31)+1,20))),"#,##0.00")&amp;" - SAR "&amp;TEXT(S31/VALUE(TRIM(LEFT(O31,FIND("-",O31)-1))),"#,##0.00"),"-"))</f>
        <v>59914.5745</v>
      </c>
      <c r="U31" s="9"/>
    </row>
    <row r="32" customFormat="false" ht="33.75" hidden="false" customHeight="true" outlineLevel="0" collapsed="false">
      <c r="A32" s="9" t="n">
        <v>12</v>
      </c>
      <c r="B32" s="10" t="s">
        <v>104</v>
      </c>
      <c r="C32" s="9" t="s">
        <v>105</v>
      </c>
      <c r="D32" s="9" t="n">
        <v>1</v>
      </c>
      <c r="E32" s="5" t="n">
        <v>0.06</v>
      </c>
      <c r="F32" s="11" t="n">
        <f aca="false">ROUND($C$3*E32,2)</f>
        <v>62519.56</v>
      </c>
      <c r="G32" s="11" t="n">
        <f aca="false">IF(ISNUMBER(D32),F32/D32,IFERROR("SAR "&amp;TEXT(F32/VALUE(TRIM(MID(D32,FIND("-",D32)+1,20))),"#,##0.00")&amp;" - SAR "&amp;TEXT(F32/VALUE(TRIM(LEFT(D32,FIND("-",D32)-1))),"#,##0.00"),"-"))</f>
        <v>62519.56</v>
      </c>
      <c r="H32" s="11" t="n">
        <f aca="false">ROUND(F32*$C$4,2)</f>
        <v>9377.93</v>
      </c>
      <c r="I32" s="11" t="n">
        <f aca="false">F32+H32</f>
        <v>71897.49</v>
      </c>
      <c r="J32" s="11" t="n">
        <f aca="false">IF(ISNUMBER(D32),I32/D32,IFERROR("SAR "&amp;TEXT(I32/VALUE(TRIM(MID(D32,FIND("-",D32)+1,20))),"#,##0.00")&amp;" - SAR "&amp;TEXT(I32/VALUE(TRIM(LEFT(D32,FIND("-",D32)-1))),"#,##0.00"),"-"))</f>
        <v>71897.49</v>
      </c>
      <c r="K32" s="12" t="s">
        <v>37</v>
      </c>
      <c r="L32" s="6" t="s">
        <v>106</v>
      </c>
      <c r="M32" s="13" t="s">
        <v>107</v>
      </c>
      <c r="N32" s="6" t="s">
        <v>25</v>
      </c>
      <c r="O32" s="6" t="n">
        <v>1</v>
      </c>
      <c r="P32" s="5" t="n">
        <f aca="false">1/3</f>
        <v>0.333333333333333</v>
      </c>
      <c r="Q32" s="14" t="n">
        <f aca="false">F$32*P32</f>
        <v>20839.8533333333</v>
      </c>
      <c r="R32" s="14" t="n">
        <f aca="false">IF(ISNUMBER(O32),Q32/O32,IFERROR("SAR "&amp;TEXT(Q32/VALUE(TRIM(MID(O32,FIND("-",O32)+1,20))),"#,##0.00")&amp;" - SAR "&amp;TEXT(Q32/VALUE(TRIM(LEFT(O32,FIND("-",O32)-1))),"#,##0.00"),"-"))</f>
        <v>20839.8533333333</v>
      </c>
      <c r="S32" s="14" t="n">
        <f aca="false">Q32*(1+$C$4)</f>
        <v>23965.8313333333</v>
      </c>
      <c r="T32" s="14" t="n">
        <f aca="false">IF(ISNUMBER(O32),S32/O32,IFERROR("SAR "&amp;TEXT(S32/VALUE(TRIM(MID(O32,FIND("-",O32)+1,20))),"#,##0.00")&amp;" - SAR "&amp;TEXT(S32/VALUE(TRIM(LEFT(O32,FIND("-",O32)-1))),"#,##0.00"),"-"))</f>
        <v>23965.8313333333</v>
      </c>
      <c r="U32" s="9" t="str">
        <f aca="false">IF(AND(ABS(SUM(P32:P34)-1)&lt;0.000001,ABS(SUM(Q32:Q34)-F32)&lt;0.005),"✓ مطابق","✗ راجع النسب")</f>
        <v>✓ مطابق</v>
      </c>
    </row>
    <row r="33" customFormat="false" ht="33.75" hidden="false" customHeight="true" outlineLevel="0" collapsed="false">
      <c r="A33" s="9"/>
      <c r="B33" s="10"/>
      <c r="C33" s="9"/>
      <c r="D33" s="9"/>
      <c r="E33" s="9"/>
      <c r="F33" s="9"/>
      <c r="G33" s="9"/>
      <c r="H33" s="9"/>
      <c r="I33" s="9"/>
      <c r="J33" s="9"/>
      <c r="K33" s="12"/>
      <c r="L33" s="6" t="s">
        <v>108</v>
      </c>
      <c r="M33" s="13" t="s">
        <v>109</v>
      </c>
      <c r="N33" s="6" t="s">
        <v>25</v>
      </c>
      <c r="O33" s="6" t="n">
        <v>1</v>
      </c>
      <c r="P33" s="5" t="n">
        <f aca="false">1/3</f>
        <v>0.333333333333333</v>
      </c>
      <c r="Q33" s="14" t="n">
        <f aca="false">F$32*P33</f>
        <v>20839.8533333333</v>
      </c>
      <c r="R33" s="14" t="n">
        <f aca="false">IF(ISNUMBER(O33),Q33/O33,IFERROR("SAR "&amp;TEXT(Q33/VALUE(TRIM(MID(O33,FIND("-",O33)+1,20))),"#,##0.00")&amp;" - SAR "&amp;TEXT(Q33/VALUE(TRIM(LEFT(O33,FIND("-",O33)-1))),"#,##0.00"),"-"))</f>
        <v>20839.8533333333</v>
      </c>
      <c r="S33" s="14" t="n">
        <f aca="false">Q33*(1+$C$4)</f>
        <v>23965.8313333333</v>
      </c>
      <c r="T33" s="14" t="n">
        <f aca="false">IF(ISNUMBER(O33),S33/O33,IFERROR("SAR "&amp;TEXT(S33/VALUE(TRIM(MID(O33,FIND("-",O33)+1,20))),"#,##0.00")&amp;" - SAR "&amp;TEXT(S33/VALUE(TRIM(LEFT(O33,FIND("-",O33)-1))),"#,##0.00"),"-"))</f>
        <v>23965.8313333333</v>
      </c>
      <c r="U33" s="9"/>
    </row>
    <row r="34" customFormat="false" ht="33.75" hidden="false" customHeight="true" outlineLevel="0" collapsed="false">
      <c r="A34" s="9"/>
      <c r="B34" s="10"/>
      <c r="C34" s="9"/>
      <c r="D34" s="9"/>
      <c r="E34" s="9"/>
      <c r="F34" s="9"/>
      <c r="G34" s="9"/>
      <c r="H34" s="9"/>
      <c r="I34" s="9"/>
      <c r="J34" s="9"/>
      <c r="K34" s="12"/>
      <c r="L34" s="6" t="s">
        <v>110</v>
      </c>
      <c r="M34" s="13" t="s">
        <v>111</v>
      </c>
      <c r="N34" s="6" t="s">
        <v>25</v>
      </c>
      <c r="O34" s="6" t="n">
        <v>1</v>
      </c>
      <c r="P34" s="5" t="n">
        <f aca="false">1/3</f>
        <v>0.333333333333333</v>
      </c>
      <c r="Q34" s="14" t="n">
        <f aca="false">F$32*P34</f>
        <v>20839.8533333333</v>
      </c>
      <c r="R34" s="14" t="n">
        <f aca="false">IF(ISNUMBER(O34),Q34/O34,IFERROR("SAR "&amp;TEXT(Q34/VALUE(TRIM(MID(O34,FIND("-",O34)+1,20))),"#,##0.00")&amp;" - SAR "&amp;TEXT(Q34/VALUE(TRIM(LEFT(O34,FIND("-",O34)-1))),"#,##0.00"),"-"))</f>
        <v>20839.8533333333</v>
      </c>
      <c r="S34" s="14" t="n">
        <f aca="false">Q34*(1+$C$4)</f>
        <v>23965.8313333333</v>
      </c>
      <c r="T34" s="14" t="n">
        <f aca="false">IF(ISNUMBER(O34),S34/O34,IFERROR("SAR "&amp;TEXT(S34/VALUE(TRIM(MID(O34,FIND("-",O34)+1,20))),"#,##0.00")&amp;" - SAR "&amp;TEXT(S34/VALUE(TRIM(LEFT(O34,FIND("-",O34)-1))),"#,##0.00"),"-"))</f>
        <v>23965.8313333333</v>
      </c>
      <c r="U34" s="9"/>
    </row>
    <row r="35" customFormat="false" ht="33.75" hidden="false" customHeight="true" outlineLevel="0" collapsed="false">
      <c r="A35" s="7" t="s">
        <v>112</v>
      </c>
      <c r="B35" s="7"/>
      <c r="C35" s="7"/>
      <c r="D35" s="7"/>
      <c r="E35" s="15" t="n">
        <f aca="false">SUM(E8:E34)</f>
        <v>1</v>
      </c>
      <c r="F35" s="16" t="n">
        <f aca="false">SUM(F8:F34)</f>
        <v>1041992.61</v>
      </c>
      <c r="G35" s="7"/>
      <c r="H35" s="16" t="n">
        <f aca="false">SUM(H8:H34)</f>
        <v>156298.89</v>
      </c>
      <c r="I35" s="16" t="n">
        <f aca="false">SUM(I8:I34)</f>
        <v>1198291.5</v>
      </c>
      <c r="J35" s="7"/>
      <c r="K35" s="17" t="s">
        <v>113</v>
      </c>
      <c r="L35" s="7" t="s">
        <v>112</v>
      </c>
      <c r="M35" s="7"/>
      <c r="N35" s="7"/>
      <c r="O35" s="7"/>
      <c r="P35" s="7" t="str">
        <f aca="false">COUNTIF(U8:U34,"✓*")&amp;" / 12 مطابق"</f>
        <v>12 / 12 مطابق</v>
      </c>
      <c r="Q35" s="16" t="n">
        <f aca="false">SUM(Q8:Q34)</f>
        <v>1041992.61</v>
      </c>
      <c r="R35" s="7"/>
      <c r="S35" s="16" t="n">
        <f aca="false">SUM(S8:S34)</f>
        <v>1198291.5015</v>
      </c>
      <c r="T35" s="7"/>
      <c r="U35" s="7" t="str">
        <f aca="false">IF(AND(ABS(E35-1)&lt;0.000001,ABS(F35-$C$3)&lt;0.05),"✓ مطابق","✗ راجع")</f>
        <v>✓ مطابق</v>
      </c>
    </row>
    <row r="37" customFormat="false" ht="15" hidden="false" customHeight="true" outlineLevel="0" collapsed="false">
      <c r="A37" s="18" t="s">
        <v>114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</row>
    <row r="38" customFormat="false" ht="15" hidden="false" customHeight="true" outlineLevel="0" collapsed="false">
      <c r="A38" s="19" t="s">
        <v>115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</row>
    <row r="39" customFormat="false" ht="15" hidden="false" customHeight="true" outlineLevel="0" collapsed="false">
      <c r="A39" s="19" t="s">
        <v>116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</row>
    <row r="40" customFormat="false" ht="15" hidden="false" customHeight="true" outlineLevel="0" collapsed="false">
      <c r="A40" s="19" t="s">
        <v>117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</row>
    <row r="41" customFormat="false" ht="15" hidden="false" customHeight="true" outlineLevel="0" collapsed="false">
      <c r="A41" s="19" t="s">
        <v>118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</row>
    <row r="42" customFormat="false" ht="15" hidden="false" customHeight="true" outlineLevel="0" collapsed="false">
      <c r="A42" s="19" t="s">
        <v>119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</row>
  </sheetData>
  <mergeCells count="101">
    <mergeCell ref="A1:U1"/>
    <mergeCell ref="C3:D3"/>
    <mergeCell ref="G3:H3"/>
    <mergeCell ref="C4:D4"/>
    <mergeCell ref="G4:H4"/>
    <mergeCell ref="A6:A7"/>
    <mergeCell ref="B6:K6"/>
    <mergeCell ref="L6:T6"/>
    <mergeCell ref="U6:U7"/>
    <mergeCell ref="A8:A11"/>
    <mergeCell ref="B8:B11"/>
    <mergeCell ref="C8:C11"/>
    <mergeCell ref="D8:D11"/>
    <mergeCell ref="E8:E11"/>
    <mergeCell ref="F8:F11"/>
    <mergeCell ref="G8:G11"/>
    <mergeCell ref="H8:H11"/>
    <mergeCell ref="I8:I11"/>
    <mergeCell ref="J8:J11"/>
    <mergeCell ref="K8:K11"/>
    <mergeCell ref="U8:U11"/>
    <mergeCell ref="A12:A13"/>
    <mergeCell ref="B12:B13"/>
    <mergeCell ref="C12:C13"/>
    <mergeCell ref="D12:D13"/>
    <mergeCell ref="E12:E13"/>
    <mergeCell ref="F12:F13"/>
    <mergeCell ref="G12:G13"/>
    <mergeCell ref="H12:H13"/>
    <mergeCell ref="I12:I13"/>
    <mergeCell ref="J12:J13"/>
    <mergeCell ref="K12:K13"/>
    <mergeCell ref="U12:U13"/>
    <mergeCell ref="A15:A18"/>
    <mergeCell ref="B15:B18"/>
    <mergeCell ref="C15:C18"/>
    <mergeCell ref="D15:D18"/>
    <mergeCell ref="E15:E18"/>
    <mergeCell ref="F15:F18"/>
    <mergeCell ref="G15:G18"/>
    <mergeCell ref="H15:H18"/>
    <mergeCell ref="I15:I18"/>
    <mergeCell ref="J15:J18"/>
    <mergeCell ref="K15:K18"/>
    <mergeCell ref="U15:U18"/>
    <mergeCell ref="A22:A23"/>
    <mergeCell ref="B22:B23"/>
    <mergeCell ref="C22:C23"/>
    <mergeCell ref="D22:D23"/>
    <mergeCell ref="E22:E23"/>
    <mergeCell ref="F22:F23"/>
    <mergeCell ref="G22:G23"/>
    <mergeCell ref="H22:H23"/>
    <mergeCell ref="I22:I23"/>
    <mergeCell ref="J22:J23"/>
    <mergeCell ref="K22:K23"/>
    <mergeCell ref="U22:U23"/>
    <mergeCell ref="A25:A27"/>
    <mergeCell ref="B25:B27"/>
    <mergeCell ref="C25:C27"/>
    <mergeCell ref="D25:D27"/>
    <mergeCell ref="E25:E27"/>
    <mergeCell ref="F25:F27"/>
    <mergeCell ref="G25:G27"/>
    <mergeCell ref="H25:H27"/>
    <mergeCell ref="I25:I27"/>
    <mergeCell ref="J25:J27"/>
    <mergeCell ref="K25:K27"/>
    <mergeCell ref="U25:U27"/>
    <mergeCell ref="A28:A31"/>
    <mergeCell ref="B28:B31"/>
    <mergeCell ref="C28:C31"/>
    <mergeCell ref="D28:D31"/>
    <mergeCell ref="E28:E31"/>
    <mergeCell ref="F28:F31"/>
    <mergeCell ref="G28:G31"/>
    <mergeCell ref="H28:H31"/>
    <mergeCell ref="I28:I31"/>
    <mergeCell ref="J28:J31"/>
    <mergeCell ref="K28:K31"/>
    <mergeCell ref="U28:U31"/>
    <mergeCell ref="A32:A34"/>
    <mergeCell ref="B32:B34"/>
    <mergeCell ref="C32:C34"/>
    <mergeCell ref="D32:D34"/>
    <mergeCell ref="E32:E34"/>
    <mergeCell ref="F32:F34"/>
    <mergeCell ref="G32:G34"/>
    <mergeCell ref="H32:H34"/>
    <mergeCell ref="I32:I34"/>
    <mergeCell ref="J32:J34"/>
    <mergeCell ref="K32:K34"/>
    <mergeCell ref="U32:U34"/>
    <mergeCell ref="A35:D35"/>
    <mergeCell ref="L35:O35"/>
    <mergeCell ref="A37:U37"/>
    <mergeCell ref="A38:U38"/>
    <mergeCell ref="A39:U39"/>
    <mergeCell ref="A40:U40"/>
    <mergeCell ref="A41:U41"/>
    <mergeCell ref="A42:U42"/>
  </mergeCells>
  <conditionalFormatting sqref="U8:U34">
    <cfRule type="expression" priority="2" aboveAverage="0" equalAverage="0" bottom="0" percent="0" rank="0" text="" dxfId="0">
      <formula>LEFT(U8,1)="✗"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2026-10-08T11:47:20Z</dcterms:created>
  <dc:creator>openpyxl</dc:creator>
  <dc:description/>
  <dc:language>en-US</dc:language>
  <cp:lastModifiedBy/>
  <dcterms:modified xsi:type="dcterms:W3CDTF">2026-10-08T11:47:20Z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