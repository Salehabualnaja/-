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جدول الكميات" sheetId="1" state="visible" r:id="rId3"/>
    <sheet name="مقارنة التخفيض" sheetId="2" state="visible" r:id="rId4"/>
  </sheets>
  <definedNames>
    <definedName function="false" hidden="false" localSheetId="0" name="_xlnm.Print_Titles" vbProcedure="false">'جدول الكميات'!$6:$6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 authorId="0">
      <text>
        <r>
          <rPr>
            <sz val="10"/>
            <rFont val="FreeSans"/>
            <family val="2"/>
          </rPr>
          <t xml:space="preserve">مدخل: بعد تخفيض العرض بمقدار </t>
        </r>
        <r>
          <rPr>
            <sz val="10"/>
            <rFont val="Arial"/>
            <family val="2"/>
          </rPr>
          <t xml:space="preserve">100,000 ريال شاملة VAT </t>
        </r>
        <r>
          <rPr>
            <sz val="10"/>
            <rFont val="FreeSans"/>
            <family val="2"/>
          </rPr>
          <t xml:space="preserve">بطلب المستخدم = </t>
        </r>
        <r>
          <rPr>
            <sz val="10"/>
            <rFont val="Arial"/>
            <family val="2"/>
          </rPr>
          <t xml:space="preserve">1,041,992.61 − (100,000 ÷ 1.15) = 955,036.09. الإجمالي السابق في شيت (مقارنة التخفيض).</t>
        </r>
      </text>
    </comment>
    <comment ref="C4" authorId="0">
      <text>
        <r>
          <rPr>
            <sz val="10"/>
            <rFont val="FreeSans"/>
            <family val="2"/>
          </rPr>
          <t xml:space="preserve">مدخل: نسبة ضريبة القيمة المضافة في المملكة العربية السعودية (</t>
        </r>
        <r>
          <rPr>
            <sz val="10"/>
            <rFont val="Arial"/>
            <family val="2"/>
          </rPr>
          <t xml:space="preserve">15%).</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C3" authorId="0">
      <text>
        <r>
          <rPr>
            <sz val="10"/>
            <rFont val="FreeSans"/>
            <family val="2"/>
          </rPr>
          <t xml:space="preserve">مدخل: الإجمالي بدون </t>
        </r>
        <r>
          <rPr>
            <sz val="10"/>
            <rFont val="Arial"/>
            <family val="2"/>
          </rPr>
          <t xml:space="preserve">VAT </t>
        </r>
        <r>
          <rPr>
            <sz val="10"/>
            <rFont val="FreeSans"/>
            <family val="2"/>
          </rPr>
          <t xml:space="preserve">في جدول الكميات الأصلي قبل التخفيض</t>
        </r>
        <r>
          <rPr>
            <sz val="10"/>
            <rFont val="Arial"/>
            <family val="2"/>
          </rPr>
          <t xml:space="preserve">.</t>
        </r>
      </text>
    </comment>
  </commentList>
</comments>
</file>

<file path=xl/sharedStrings.xml><?xml version="1.0" encoding="utf-8"?>
<sst xmlns="http://schemas.openxmlformats.org/spreadsheetml/2006/main" count="183" uniqueCount="128">
  <si>
    <t xml:space="preserve">جدول الكميات التفصيلي</t>
  </si>
  <si>
    <t xml:space="preserve">إجمالي قيمة العقد بدون VAT (ريال)</t>
  </si>
  <si>
    <t xml:space="preserve">دليل الألوان:</t>
  </si>
  <si>
    <t xml:space="preserve">مدخلات قابلة للتعديل</t>
  </si>
  <si>
    <t xml:space="preserve">نسبة ضريبة القيمة المضافة (VAT)</t>
  </si>
  <si>
    <t xml:space="preserve">معادلات (لا تُعدَّل)</t>
  </si>
  <si>
    <t xml:space="preserve">رقم المخرج الرئيسي</t>
  </si>
  <si>
    <t xml:space="preserve">المخرج الرئيسي</t>
  </si>
  <si>
    <t xml:space="preserve">نسبة المخرج الرئيسي من المخرجات الرئيسية</t>
  </si>
  <si>
    <t xml:space="preserve">المخرج الفرعي</t>
  </si>
  <si>
    <t xml:space="preserve">الوحدة</t>
  </si>
  <si>
    <t xml:space="preserve">العدد</t>
  </si>
  <si>
    <t xml:space="preserve">نسبة التوزيع داخل المخرج الرئيسي</t>
  </si>
  <si>
    <t xml:space="preserve">سعر الوحدة</t>
  </si>
  <si>
    <t xml:space="preserve">السعر الإجمالي بدون VAT</t>
  </si>
  <si>
    <t xml:space="preserve">الإجمالي مع VAT</t>
  </si>
  <si>
    <t xml:space="preserve">السعر كتابةً بالريال السعودي</t>
  </si>
  <si>
    <t xml:space="preserve">حزمة تأسيس المشروع</t>
  </si>
  <si>
    <t xml:space="preserve">خطة وميثاق المشروع</t>
  </si>
  <si>
    <t xml:space="preserve">وثيقة</t>
  </si>
  <si>
    <t xml:space="preserve">ثلاثة عشر ألفاً وسبعمائة وثمانية وعشرون ريالاً سعودياً وأربع وستون هللة فقط لا غير</t>
  </si>
  <si>
    <t xml:space="preserve">خطة إدارة المخاطر</t>
  </si>
  <si>
    <t xml:space="preserve">ستة عشر ألفاً وأربعمائة وأربعة وسبعون ريالاً سعودياً وسبع وثلاثون هللة فقط لا غير</t>
  </si>
  <si>
    <t xml:space="preserve">الجدول الزمني للمهام</t>
  </si>
  <si>
    <t xml:space="preserve">خمسة آلاف وأربعمائة وواحد وتسعون ريالاً سعودياً وست وأربعون هللة فقط لا غير</t>
  </si>
  <si>
    <t xml:space="preserve">خطة إدارة الجودة</t>
  </si>
  <si>
    <t xml:space="preserve">تسعة عشر ألفاً ومائتان وعشرون ريالاً سعودياً وعشر هللات فقط لا غير</t>
  </si>
  <si>
    <t xml:space="preserve">إجمالي المخرج الرئيسي (1)</t>
  </si>
  <si>
    <t xml:space="preserve">أربعة وخمسون ألفاً وتسعمائة وأربعة عشر ريالاً سعودياً وسبع وخمسون هللة فقط لا غير</t>
  </si>
  <si>
    <t xml:space="preserve">منظومة إدارة المشروع والحوكمة</t>
  </si>
  <si>
    <t xml:space="preserve">نظام المتابعة والجدول الموحد ولوحة المؤشرات</t>
  </si>
  <si>
    <t xml:space="preserve">لوحة مؤشرات</t>
  </si>
  <si>
    <t xml:space="preserve">ثمانية وثلاثون ألفاً وأربعمائة وأربعون ريالاً سعودياً وعشرون هللة فقط لا غير</t>
  </si>
  <si>
    <t xml:space="preserve">مصفوفة الحوكمة والقرارات وخريطة المعالم</t>
  </si>
  <si>
    <t xml:space="preserve">إجمالي المخرج الرئيسي (2)</t>
  </si>
  <si>
    <t xml:space="preserve">تقارير التقدم</t>
  </si>
  <si>
    <t xml:space="preserve">تقارير التقدّم ومحاضر الاجتماعات</t>
  </si>
  <si>
    <t xml:space="preserve">تقارير دورية</t>
  </si>
  <si>
    <t xml:space="preserve">اثنان وثلاثون ألفاً وتسعمائة وثمانية وأربعون ريالاً سعودياً وأربع وسبعون هللة فقط لا غير</t>
  </si>
  <si>
    <t xml:space="preserve">إجمالي المخرج الرئيسي (3)</t>
  </si>
  <si>
    <t xml:space="preserve">برنامج الملتقى الفني ومحتواه</t>
  </si>
  <si>
    <t xml:space="preserve">البرنامج الفني المزمّن والسيناريو التشغيلي</t>
  </si>
  <si>
    <t xml:space="preserve">تسعة عشر ألفاً وسبعمائة وتسعة وستون ريالاً سعودياً وخمس وعشرون هللة فقط لا غير</t>
  </si>
  <si>
    <t xml:space="preserve">الجلسات الحوارية</t>
  </si>
  <si>
    <t xml:space="preserve">تسعة وستون ألفاً ومائة واثنان وتسعون ريالاً سعودياً وسبع وثلاثون هللة فقط لا غير</t>
  </si>
  <si>
    <t xml:space="preserve">الورش التفاعلية والنشاط المصاحب</t>
  </si>
  <si>
    <t xml:space="preserve">تسعة وسبعون ألفاً وستة وسبعون ريالاً سعودياً وتسع وتسعون هللة فقط لا غير</t>
  </si>
  <si>
    <t xml:space="preserve">تهيئة المتحدثين وملفاتهم وبروفاتهم</t>
  </si>
  <si>
    <t xml:space="preserve">تسعة وعشرون ألفاً وستمائة وثلاثة وخمسون ريالاً سعودياً وسبع وثمانون هللة فقط لا غير</t>
  </si>
  <si>
    <t xml:space="preserve">إجمالي المخرج الرئيسي (4)</t>
  </si>
  <si>
    <t xml:space="preserve">مائة وسبعة وتسعون ألفاً وستمائة واثنان وتسعون ريالاً سعودياً وثماني وأربعون هللة فقط لا غير</t>
  </si>
  <si>
    <t xml:space="preserve">حزمة الهوية وقوالب المواد</t>
  </si>
  <si>
    <t xml:space="preserve">حزمة</t>
  </si>
  <si>
    <t xml:space="preserve">واحد وعشرون ألفاً وتسعمائة وخمسة وستون ريالاً سعودياً وثلاث وثمانون هللة فقط لا غير</t>
  </si>
  <si>
    <t xml:space="preserve">إجمالي المخرج الرئيسي (5)</t>
  </si>
  <si>
    <t xml:space="preserve">إطار مؤشرات النجاح وقياس أدائها</t>
  </si>
  <si>
    <t xml:space="preserve">مؤشرات النجاح ومستهدفاتها وأدوات قياسها</t>
  </si>
  <si>
    <t xml:space="preserve">مائة وتسعة آلاف وثمانمائة وتسعة وعشرون ريالاً سعودياً وخمس عشرة هللة فقط لا غير</t>
  </si>
  <si>
    <t xml:space="preserve">إجمالي المخرج الرئيسي (6)</t>
  </si>
  <si>
    <t xml:space="preserve">قاعدة بيانات المشاركين</t>
  </si>
  <si>
    <t xml:space="preserve">قاعدة بيانات الشركات والخبراء والمدعوين</t>
  </si>
  <si>
    <t xml:space="preserve">قاعدة بيانات</t>
  </si>
  <si>
    <t xml:space="preserve">إجمالي المخرج الرئيسي (7)</t>
  </si>
  <si>
    <t xml:space="preserve">التسجيل والاستقبال</t>
  </si>
  <si>
    <t xml:space="preserve">نموذج التسجيل الإلكتروني وتشغيله</t>
  </si>
  <si>
    <t xml:space="preserve">نموذج التسجيل</t>
  </si>
  <si>
    <t xml:space="preserve">ثمانية وخمسون ألفاً وسبعمائة وثمانية وخمسون ريالاً سعودياً وتسع وخمسون هللة فقط لا غير</t>
  </si>
  <si>
    <t xml:space="preserve">بطاقات المشاركين وتشغيل الاستقبال</t>
  </si>
  <si>
    <t xml:space="preserve">بطاقة</t>
  </si>
  <si>
    <t xml:space="preserve">ثمانية وخمسون ألفاً وسبعمائة وثمانية وخمسون ريالاً سعودياً وستون هللة فقط لا غير</t>
  </si>
  <si>
    <t xml:space="preserve">إجمالي المخرج الرئيسي (8)</t>
  </si>
  <si>
    <t xml:space="preserve">مائة وسبعة عشر ألفاً وخمسمائة وسبعة عشر ريالاً سعودياً وتسع عشرة هللة فقط لا غير</t>
  </si>
  <si>
    <t xml:space="preserve">تخطيط الحملة الإعلامية</t>
  </si>
  <si>
    <t xml:space="preserve">الخطة الإعلامية التوعوية</t>
  </si>
  <si>
    <t xml:space="preserve">إجمالي المخرج الرئيسي (9)</t>
  </si>
  <si>
    <t xml:space="preserve">تنفيذ الحملة الإعلامية</t>
  </si>
  <si>
    <t xml:space="preserve">المرحلة الأولى (الفيديوهات)</t>
  </si>
  <si>
    <t xml:space="preserve">فيديوهات</t>
  </si>
  <si>
    <t xml:space="preserve">تسعة وعشرون ألفاً وستمائة وثلاثة وخمسون ريالاً سعودياً وثماني وثمانون هللة فقط لا غير</t>
  </si>
  <si>
    <t xml:space="preserve">المرحلة الأولى (الإنفوجراف)</t>
  </si>
  <si>
    <t xml:space="preserve">إنفوجراف</t>
  </si>
  <si>
    <t xml:space="preserve">المرحلة الثانية</t>
  </si>
  <si>
    <t xml:space="preserve">إجمالي المخرج الرئيسي (10)</t>
  </si>
  <si>
    <t xml:space="preserve">مواد إعلامية</t>
  </si>
  <si>
    <t xml:space="preserve">خمسة وستون ألفاً وثمانمائة وسبعة وتسعون ريالاً سعودياً وخمسون هللة فقط لا غير</t>
  </si>
  <si>
    <t xml:space="preserve">الجاهزية التشغيلية وتنفيذ يوم الملتقى</t>
  </si>
  <si>
    <t xml:space="preserve">ضوابط الهوية وتجربة الزائر للمعرض، ونماذج مطابقة مخرجات المورد</t>
  </si>
  <si>
    <t xml:space="preserve">أربعة وسبعون ألفاً وتسعمائة وثمانية وخمسون ريالاً سعودياً وتسع وثلاثون هللة فقط لا غير</t>
  </si>
  <si>
    <t xml:space="preserve">إدارة الأعمال المؤقّرة والمورد الموجّه</t>
  </si>
  <si>
    <t xml:space="preserve">مائة وأربعة آلاف وتسعمائة وواحد وأربعون ريالاً سعودياً وست وسبعون هللة فقط لا غير</t>
  </si>
  <si>
    <t xml:space="preserve">التغطية الإعلامية يوم الملتقى</t>
  </si>
  <si>
    <t xml:space="preserve">تغطية بصرية</t>
  </si>
  <si>
    <t xml:space="preserve">أربعة وأربعون ألفاً وتسعمائة وخمسة وسبعون ريالاً سعودياً وأربع هللات فقط لا غير</t>
  </si>
  <si>
    <t xml:space="preserve">حزمة الإنتاج والمطبوعات</t>
  </si>
  <si>
    <t xml:space="preserve">إجمالي المخرج الرئيسي (11)</t>
  </si>
  <si>
    <t xml:space="preserve">دعم تشغيلي</t>
  </si>
  <si>
    <t xml:space="preserve">مائتان وتسعة وتسعون ألفاً وثمانمائة وثلاثة وثلاثون ريالاً سعودياً وثماني وخمسون هللة فقط لا غير</t>
  </si>
  <si>
    <t xml:space="preserve">الإغلاق وقياس الأثر</t>
  </si>
  <si>
    <t xml:space="preserve">التقرير الختامي والتوثيق</t>
  </si>
  <si>
    <t xml:space="preserve">ثلاثة وعشرون ألفاً وأربعة وستون ريالاً سعودياً واثنتا عشرة هللة فقط لا غير</t>
  </si>
  <si>
    <t xml:space="preserve">استبانة قياس الرضا والأثر</t>
  </si>
  <si>
    <t xml:space="preserve">ستة وعشرون ألفاً وثلاثمائة وتسعة وخمسون ريالاً سعودياً فقط لا غير</t>
  </si>
  <si>
    <t xml:space="preserve">الأرشفة والإغلاق</t>
  </si>
  <si>
    <t xml:space="preserve">ستة عشر ألفاً وأربعمائة وأربعة وسبعون ريالاً سعودياً وثماني وثلاثون هللة فقط لا غير</t>
  </si>
  <si>
    <t xml:space="preserve">إجمالي المخرج الرئيسي (12)</t>
  </si>
  <si>
    <t xml:space="preserve">تقرير ختامي</t>
  </si>
  <si>
    <t xml:space="preserve">الإجمالي</t>
  </si>
  <si>
    <t xml:space="preserve">مليون وثمانية وتسعون ألفاً ومائتان وواحد وتسعون ريالاً سعودياً وإحدى وخمسون هللة فقط لا غير</t>
  </si>
  <si>
    <t xml:space="preserve">ملاحظات:</t>
  </si>
  <si>
    <t xml:space="preserve">1) لكل مخرج رئيسي صف (إجمالي المخرج الرئيسي) سعره = إجمالي قيمة العقد (C3) × نسبة المخرج الرئيسي (العمود C) مقرّباً لهللتين، و VAT = السعر × نسبة الضريبة (C4) مقرّبة لهللتين، والإجمالي مع VAT = السعر + VAT.</t>
  </si>
  <si>
    <t xml:space="preserve">2) سعر المخرج الفرعي = سعر المخرج الرئيسي × نسبة التوزيع (العمود G) مقرّباً لهللتين، ويحمل آخر مخرج فرعي فرق التقريب (في السعر و VAT) ليتطابق مجموع المخرجات الفرعية مع المخرج الرئيسي تماماً. النسب الافتراضية موزّعة بالتساوي لعدم ورود تسعير تفصيلي؛ عدّلها على أن يكون مجموعها 100% (يظهر المجموع في صف الإجمالي ويتلوّن بالأحمر إن لم يساوِ 100%).</t>
  </si>
  <si>
    <t xml:space="preserve">3) سعر الوحدة = السعر الإجمالي بدون VAT ÷ العدد (مثال: تقارير التقدم ÷ 6، وبطاقات المشاركين ÷ 220 بطاقة).</t>
  </si>
  <si>
    <t xml:space="preserve">4) تم تخفيض العرض المالي بنحو 100,000 ريال شاملة VAT (من 1,198,291.50 إلى الإجمالي الظاهر أعلاه)، وتركّز التخفيض على بنود الحملة الإعلامية (9 و10)، مع رفع المخرج 11 لبيان الجهد التنفيذي. التفاصيل في شيت (مقارنة التخفيض).</t>
  </si>
  <si>
    <t xml:space="preserve">5) عمود (السعر كتابةً) نص ثابت مولَّد من الأرقام الحالية؛ إذا غيّرت النسب أو قيمة العقد فيلزم تحديثه.</t>
  </si>
  <si>
    <t xml:space="preserve">مقارنة العرض المالي قبل التخفيض وبعده</t>
  </si>
  <si>
    <t xml:space="preserve">إجمالي العرض السابق بدون VAT (ريال)</t>
  </si>
  <si>
    <t xml:space="preserve">م</t>
  </si>
  <si>
    <t xml:space="preserve">النسبة السابقة</t>
  </si>
  <si>
    <t xml:space="preserve">السعر السابق بدون VAT</t>
  </si>
  <si>
    <t xml:space="preserve">النسبة الجديدة</t>
  </si>
  <si>
    <t xml:space="preserve">السعر الجديد بدون VAT</t>
  </si>
  <si>
    <t xml:space="preserve">الفرق</t>
  </si>
  <si>
    <t xml:space="preserve">نسبة التغيّر</t>
  </si>
  <si>
    <t xml:space="preserve">الإجمالي بدون VAT</t>
  </si>
  <si>
    <t xml:space="preserve">VAT</t>
  </si>
  <si>
    <t xml:space="preserve">• البندان الملوّنان بالبرتقالي (الحملة الإعلامية) يتركّز فيهما التخفيض، والبند الملوّن بالأخضر (11) تمت زيادته لبيان الجهد التنفيذي.</t>
  </si>
  <si>
    <t xml:space="preserve">• النسبة الجديدة والسعر الجديد (بالأخضر) مربوطان بشيت (جدول الكميات)؛ أي تعديل هناك ينعكس هنا تلقائياً.</t>
  </si>
  <si>
    <t xml:space="preserve">• داخل المخرج 11 رُفع وزن (إدارة الأعمال والمورد الموجّه) إلى 35% وخُفّض وزن (التغطية الإعلامية) إلى 15%.</t>
  </si>
</sst>
</file>

<file path=xl/styles.xml><?xml version="1.0" encoding="utf-8"?>
<styleSheet xmlns="http://schemas.openxmlformats.org/spreadsheetml/2006/main">
  <numFmts count="3">
    <numFmt numFmtId="164" formatCode="General"/>
    <numFmt numFmtId="165" formatCode="&quot;SAR &quot;#,##0.00;&quot;(SAR &quot;#,##0.00\);\-"/>
    <numFmt numFmtId="166" formatCode="0.00%;\(0.00%\);\-"/>
  </numFmts>
  <fonts count="14">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b val="true"/>
      <sz val="10"/>
      <name val="Arial"/>
      <family val="0"/>
      <charset val="1"/>
    </font>
    <font>
      <sz val="10"/>
      <color rgb="FF0000FF"/>
      <name val="Arial"/>
      <family val="0"/>
      <charset val="1"/>
    </font>
    <font>
      <sz val="10"/>
      <name val="Arial"/>
      <family val="0"/>
      <charset val="1"/>
    </font>
    <font>
      <b val="true"/>
      <sz val="10"/>
      <color rgb="FFFFFFFF"/>
      <name val="Arial"/>
      <family val="0"/>
      <charset val="1"/>
    </font>
    <font>
      <b val="true"/>
      <sz val="10"/>
      <color rgb="FF0000FF"/>
      <name val="Arial"/>
      <family val="0"/>
      <charset val="1"/>
    </font>
    <font>
      <sz val="10"/>
      <name val="FreeSans"/>
      <family val="2"/>
    </font>
    <font>
      <sz val="10"/>
      <name val="Arial"/>
      <family val="2"/>
    </font>
    <font>
      <b val="true"/>
      <sz val="14"/>
      <color rgb="FF1F2A44"/>
      <name val="Arial"/>
      <family val="0"/>
      <charset val="1"/>
    </font>
    <font>
      <sz val="10"/>
      <color rgb="FF008000"/>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1F2A44"/>
        <bgColor rgb="FF003366"/>
      </patternFill>
    </fill>
    <fill>
      <patternFill patternType="solid">
        <fgColor rgb="FFF2F4F7"/>
        <bgColor rgb="FFFFFFFF"/>
      </patternFill>
    </fill>
    <fill>
      <patternFill patternType="solid">
        <fgColor rgb="FFDCEFE9"/>
        <bgColor rgb="FFF2F4F7"/>
      </patternFill>
    </fill>
    <fill>
      <patternFill patternType="solid">
        <fgColor rgb="FFFCE4D6"/>
        <bgColor rgb="FFF2F4F7"/>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center" textRotation="0" wrapText="true" indent="0" shrinkToFit="false" readingOrder="2"/>
      <protection locked="true" hidden="false"/>
    </xf>
    <xf numFmtId="164" fontId="5" fillId="0" borderId="0" xfId="0" applyFont="true" applyBorder="true" applyAlignment="true" applyProtection="false">
      <alignment horizontal="right" vertical="center" textRotation="0" wrapText="true" indent="0" shrinkToFit="false" readingOrder="2"/>
      <protection locked="true" hidden="false"/>
    </xf>
    <xf numFmtId="165" fontId="6" fillId="2" borderId="1" xfId="0" applyFont="true" applyBorder="true" applyAlignment="true" applyProtection="false">
      <alignment horizontal="center" vertical="center" textRotation="0" wrapText="true" indent="0" shrinkToFit="false" readingOrder="2"/>
      <protection locked="true" hidden="false"/>
    </xf>
    <xf numFmtId="164" fontId="5" fillId="0" borderId="0" xfId="0" applyFont="true" applyBorder="false" applyAlignment="true" applyProtection="false">
      <alignment horizontal="right" vertical="center" textRotation="0" wrapText="true" indent="0" shrinkToFit="false" readingOrder="2"/>
      <protection locked="true" hidden="false"/>
    </xf>
    <xf numFmtId="164" fontId="6" fillId="2" borderId="1" xfId="0" applyFont="true" applyBorder="true" applyAlignment="true" applyProtection="false">
      <alignment horizontal="center" vertical="center" textRotation="0" wrapText="true" indent="0" shrinkToFit="false" readingOrder="2"/>
      <protection locked="true" hidden="false"/>
    </xf>
    <xf numFmtId="166" fontId="6" fillId="2"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center" vertical="center" textRotation="0" wrapText="true" indent="0" shrinkToFit="false" readingOrder="2"/>
      <protection locked="true" hidden="false"/>
    </xf>
    <xf numFmtId="164" fontId="8" fillId="3" borderId="1" xfId="0" applyFont="true" applyBorder="true" applyAlignment="true" applyProtection="false">
      <alignment horizontal="center" vertical="center" textRotation="0" wrapText="true" indent="0" shrinkToFit="false" readingOrder="2"/>
      <protection locked="true" hidden="false"/>
    </xf>
    <xf numFmtId="164" fontId="7" fillId="4" borderId="1" xfId="0" applyFont="true" applyBorder="true" applyAlignment="true" applyProtection="false">
      <alignment horizontal="center" vertical="center" textRotation="0" wrapText="true" indent="0" shrinkToFit="false" readingOrder="2"/>
      <protection locked="true" hidden="false"/>
    </xf>
    <xf numFmtId="164" fontId="5" fillId="4" borderId="1" xfId="0" applyFont="true" applyBorder="true" applyAlignment="true" applyProtection="false">
      <alignment horizontal="right" vertical="center" textRotation="0" wrapText="true" indent="0" shrinkToFit="false" readingOrder="2"/>
      <protection locked="true" hidden="false"/>
    </xf>
    <xf numFmtId="166" fontId="9" fillId="2"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right" vertical="center" textRotation="0" wrapText="true" indent="0" shrinkToFit="false" readingOrder="2"/>
      <protection locked="true" hidden="false"/>
    </xf>
    <xf numFmtId="165" fontId="7" fillId="0" borderId="1" xfId="0" applyFont="true" applyBorder="true" applyAlignment="true" applyProtection="false">
      <alignment horizontal="center" vertical="center" textRotation="0" wrapText="true" indent="0" shrinkToFit="false" readingOrder="2"/>
      <protection locked="true" hidden="false"/>
    </xf>
    <xf numFmtId="164" fontId="5" fillId="5" borderId="1" xfId="0" applyFont="true" applyBorder="true" applyAlignment="true" applyProtection="false">
      <alignment horizontal="right" vertical="center" textRotation="0" wrapText="true" indent="0" shrinkToFit="false" readingOrder="2"/>
      <protection locked="true" hidden="false"/>
    </xf>
    <xf numFmtId="164" fontId="5" fillId="5" borderId="1" xfId="0" applyFont="true" applyBorder="true" applyAlignment="true" applyProtection="false">
      <alignment horizontal="center" vertical="center" textRotation="0" wrapText="true" indent="0" shrinkToFit="false" readingOrder="2"/>
      <protection locked="true" hidden="false"/>
    </xf>
    <xf numFmtId="166" fontId="5" fillId="5" borderId="1" xfId="0" applyFont="true" applyBorder="true" applyAlignment="true" applyProtection="false">
      <alignment horizontal="center" vertical="center" textRotation="0" wrapText="true" indent="0" shrinkToFit="false" readingOrder="2"/>
      <protection locked="true" hidden="false"/>
    </xf>
    <xf numFmtId="165" fontId="5" fillId="5" borderId="1" xfId="0" applyFont="true" applyBorder="true" applyAlignment="true" applyProtection="false">
      <alignment horizontal="center" vertical="center" textRotation="0" wrapText="true" indent="0" shrinkToFit="false" readingOrder="2"/>
      <protection locked="true" hidden="false"/>
    </xf>
    <xf numFmtId="166" fontId="8" fillId="3" borderId="1" xfId="0" applyFont="true" applyBorder="true" applyAlignment="true" applyProtection="false">
      <alignment horizontal="center" vertical="center" textRotation="0" wrapText="true" indent="0" shrinkToFit="false" readingOrder="2"/>
      <protection locked="true" hidden="false"/>
    </xf>
    <xf numFmtId="165" fontId="8" fillId="3" borderId="1" xfId="0" applyFont="true" applyBorder="true" applyAlignment="true" applyProtection="false">
      <alignment horizontal="center" vertical="center" textRotation="0" wrapText="true" indent="0" shrinkToFit="false" readingOrder="2"/>
      <protection locked="true" hidden="false"/>
    </xf>
    <xf numFmtId="164" fontId="8" fillId="3" borderId="1" xfId="0" applyFont="true" applyBorder="true" applyAlignment="true" applyProtection="false">
      <alignment horizontal="right" vertical="center" textRotation="0" wrapText="true" indent="0" shrinkToFit="false" readingOrder="2"/>
      <protection locked="true" hidden="false"/>
    </xf>
    <xf numFmtId="164" fontId="7" fillId="0" borderId="0" xfId="0" applyFont="true" applyBorder="true" applyAlignment="true" applyProtection="false">
      <alignment horizontal="right" vertical="center" textRotation="0" wrapText="true" indent="0" shrinkToFit="false" readingOrder="2"/>
      <protection locked="true" hidden="false"/>
    </xf>
    <xf numFmtId="164" fontId="12" fillId="0" borderId="0" xfId="0" applyFont="true" applyBorder="true" applyAlignment="true" applyProtection="false">
      <alignment horizontal="right" vertical="center" textRotation="0" wrapText="true" indent="0" shrinkToFit="false" readingOrder="2"/>
      <protection locked="true" hidden="false"/>
    </xf>
    <xf numFmtId="166" fontId="6" fillId="0" borderId="1" xfId="0" applyFont="true" applyBorder="true" applyAlignment="true" applyProtection="false">
      <alignment horizontal="center" vertical="center" textRotation="0" wrapText="true" indent="0" shrinkToFit="false" readingOrder="2"/>
      <protection locked="true" hidden="false"/>
    </xf>
    <xf numFmtId="166" fontId="13" fillId="0" borderId="1" xfId="0" applyFont="true" applyBorder="true" applyAlignment="true" applyProtection="false">
      <alignment horizontal="center" vertical="center" textRotation="0" wrapText="true" indent="0" shrinkToFit="false" readingOrder="2"/>
      <protection locked="true" hidden="false"/>
    </xf>
    <xf numFmtId="165" fontId="13" fillId="0" borderId="1" xfId="0" applyFont="true" applyBorder="true" applyAlignment="true" applyProtection="false">
      <alignment horizontal="center" vertical="center" textRotation="0" wrapText="true" indent="0" shrinkToFit="false" readingOrder="2"/>
      <protection locked="true" hidden="false"/>
    </xf>
    <xf numFmtId="166" fontId="7" fillId="0" borderId="1" xfId="0" applyFont="true" applyBorder="true" applyAlignment="true" applyProtection="false">
      <alignment horizontal="center" vertical="center" textRotation="0" wrapText="true" indent="0" shrinkToFit="false" readingOrder="2"/>
      <protection locked="true" hidden="false"/>
    </xf>
    <xf numFmtId="164" fontId="7" fillId="6" borderId="1" xfId="0" applyFont="true" applyBorder="true" applyAlignment="true" applyProtection="false">
      <alignment horizontal="center" vertical="center" textRotation="0" wrapText="true" indent="0" shrinkToFit="false" readingOrder="2"/>
      <protection locked="true" hidden="false"/>
    </xf>
    <xf numFmtId="164" fontId="7" fillId="6" borderId="1" xfId="0" applyFont="true" applyBorder="true" applyAlignment="true" applyProtection="false">
      <alignment horizontal="right" vertical="center" textRotation="0" wrapText="true" indent="0" shrinkToFit="false" readingOrder="2"/>
      <protection locked="true" hidden="false"/>
    </xf>
    <xf numFmtId="166" fontId="6" fillId="6" borderId="1" xfId="0" applyFont="true" applyBorder="true" applyAlignment="true" applyProtection="false">
      <alignment horizontal="center" vertical="center" textRotation="0" wrapText="true" indent="0" shrinkToFit="false" readingOrder="2"/>
      <protection locked="true" hidden="false"/>
    </xf>
    <xf numFmtId="165" fontId="7" fillId="6" borderId="1" xfId="0" applyFont="true" applyBorder="true" applyAlignment="true" applyProtection="false">
      <alignment horizontal="center" vertical="center" textRotation="0" wrapText="true" indent="0" shrinkToFit="false" readingOrder="2"/>
      <protection locked="true" hidden="false"/>
    </xf>
    <xf numFmtId="166" fontId="13" fillId="6" borderId="1" xfId="0" applyFont="true" applyBorder="true" applyAlignment="true" applyProtection="false">
      <alignment horizontal="center" vertical="center" textRotation="0" wrapText="true" indent="0" shrinkToFit="false" readingOrder="2"/>
      <protection locked="true" hidden="false"/>
    </xf>
    <xf numFmtId="165" fontId="13" fillId="6" borderId="1" xfId="0" applyFont="true" applyBorder="true" applyAlignment="true" applyProtection="false">
      <alignment horizontal="center" vertical="center" textRotation="0" wrapText="true" indent="0" shrinkToFit="false" readingOrder="2"/>
      <protection locked="true" hidden="false"/>
    </xf>
    <xf numFmtId="166" fontId="7" fillId="6" borderId="1" xfId="0" applyFont="true" applyBorder="true" applyAlignment="true" applyProtection="false">
      <alignment horizontal="center" vertical="center" textRotation="0" wrapText="true" indent="0" shrinkToFit="false" readingOrder="2"/>
      <protection locked="true" hidden="false"/>
    </xf>
    <xf numFmtId="164" fontId="7" fillId="5" borderId="1" xfId="0" applyFont="true" applyBorder="true" applyAlignment="true" applyProtection="false">
      <alignment horizontal="center" vertical="center" textRotation="0" wrapText="true" indent="0" shrinkToFit="false" readingOrder="2"/>
      <protection locked="true" hidden="false"/>
    </xf>
    <xf numFmtId="164" fontId="7" fillId="5" borderId="1" xfId="0" applyFont="true" applyBorder="true" applyAlignment="true" applyProtection="false">
      <alignment horizontal="right" vertical="center" textRotation="0" wrapText="true" indent="0" shrinkToFit="false" readingOrder="2"/>
      <protection locked="true" hidden="false"/>
    </xf>
    <xf numFmtId="166" fontId="6" fillId="5" borderId="1" xfId="0" applyFont="true" applyBorder="true" applyAlignment="true" applyProtection="false">
      <alignment horizontal="center" vertical="center" textRotation="0" wrapText="true" indent="0" shrinkToFit="false" readingOrder="2"/>
      <protection locked="true" hidden="false"/>
    </xf>
    <xf numFmtId="165" fontId="7" fillId="5" borderId="1" xfId="0" applyFont="true" applyBorder="true" applyAlignment="true" applyProtection="false">
      <alignment horizontal="center" vertical="center" textRotation="0" wrapText="true" indent="0" shrinkToFit="false" readingOrder="2"/>
      <protection locked="true" hidden="false"/>
    </xf>
    <xf numFmtId="166" fontId="13" fillId="5" borderId="1" xfId="0" applyFont="true" applyBorder="true" applyAlignment="true" applyProtection="false">
      <alignment horizontal="center" vertical="center" textRotation="0" wrapText="true" indent="0" shrinkToFit="false" readingOrder="2"/>
      <protection locked="true" hidden="false"/>
    </xf>
    <xf numFmtId="165" fontId="13" fillId="5" borderId="1" xfId="0" applyFont="true" applyBorder="true" applyAlignment="true" applyProtection="false">
      <alignment horizontal="center" vertical="center" textRotation="0" wrapText="true" indent="0" shrinkToFit="false" readingOrder="2"/>
      <protection locked="true" hidden="false"/>
    </xf>
    <xf numFmtId="166" fontId="7" fillId="5" borderId="1" xfId="0" applyFont="true" applyBorder="true" applyAlignment="true" applyProtection="false">
      <alignment horizontal="center" vertical="center"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C00000"/>
        <sz val="10"/>
      </font>
      <fill>
        <patternFill>
          <bgColor rgb="FFF4CC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DCEF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4CCCC"/>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3"/>
  <sheetViews>
    <sheetView showFormulas="false" showGridLines="false" showRowColHeaders="true" showZeros="true" rightToLeft="true" tabSelected="true" showOutlineSymbols="true" defaultGridColor="true" view="normal" topLeftCell="A1" colorId="64" zoomScale="60" zoomScaleNormal="6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G45" activeCellId="0" sqref="G45"/>
    </sheetView>
  </sheetViews>
  <sheetFormatPr defaultColWidth="8.6328125" defaultRowHeight="14.25" zeroHeight="false" outlineLevelRow="0" outlineLevelCol="0"/>
  <cols>
    <col collapsed="false" customWidth="true" hidden="false" outlineLevel="0" max="1" min="1" style="1" width="9"/>
    <col collapsed="false" customWidth="true" hidden="false" outlineLevel="0" max="2" min="2" style="1" width="28"/>
    <col collapsed="false" customWidth="true" hidden="false" outlineLevel="0" max="3" min="3" style="1" width="16"/>
    <col collapsed="false" customWidth="true" hidden="false" outlineLevel="0" max="4" min="4" style="1" width="40"/>
    <col collapsed="false" customWidth="true" hidden="false" outlineLevel="0" max="5" min="5" style="1" width="13"/>
    <col collapsed="false" customWidth="true" hidden="false" outlineLevel="0" max="6" min="6" style="1" width="10"/>
    <col collapsed="false" customWidth="true" hidden="false" outlineLevel="0" max="7" min="7" style="1" width="14"/>
    <col collapsed="false" customWidth="true" hidden="false" outlineLevel="0" max="8" min="8" style="1" width="22"/>
    <col collapsed="false" customWidth="true" hidden="false" outlineLevel="0" max="9" min="9" style="1" width="17"/>
    <col collapsed="false" customWidth="true" hidden="false" outlineLevel="0" max="10" min="10" style="1" width="15"/>
    <col collapsed="false" customWidth="true" hidden="false" outlineLevel="0" max="11" min="11" style="1" width="17"/>
    <col collapsed="false" customWidth="true" hidden="false" outlineLevel="0" max="12" min="12" style="1" width="52"/>
  </cols>
  <sheetData>
    <row r="1" customFormat="false" ht="27.75" hidden="false" customHeight="true" outlineLevel="0" collapsed="false">
      <c r="A1" s="2" t="s">
        <v>0</v>
      </c>
      <c r="B1" s="2"/>
      <c r="C1" s="2"/>
      <c r="D1" s="2"/>
      <c r="E1" s="2"/>
      <c r="F1" s="2"/>
      <c r="G1" s="2"/>
      <c r="H1" s="2"/>
      <c r="I1" s="2"/>
      <c r="J1" s="2"/>
      <c r="K1" s="2"/>
      <c r="L1" s="2"/>
    </row>
    <row r="3" customFormat="false" ht="15" hidden="false" customHeight="true" outlineLevel="0" collapsed="false">
      <c r="A3" s="3" t="s">
        <v>1</v>
      </c>
      <c r="B3" s="3"/>
      <c r="C3" s="4" t="n">
        <v>955036.09</v>
      </c>
      <c r="E3" s="5" t="s">
        <v>2</v>
      </c>
      <c r="F3" s="6" t="s">
        <v>3</v>
      </c>
      <c r="G3" s="6"/>
    </row>
    <row r="4" customFormat="false" ht="15" hidden="false" customHeight="true" outlineLevel="0" collapsed="false">
      <c r="A4" s="3" t="s">
        <v>4</v>
      </c>
      <c r="B4" s="3"/>
      <c r="C4" s="7" t="n">
        <v>0.15</v>
      </c>
      <c r="F4" s="8" t="s">
        <v>5</v>
      </c>
      <c r="G4" s="8"/>
    </row>
    <row r="6" customFormat="false" ht="45" hidden="false" customHeight="true" outlineLevel="0" collapsed="false">
      <c r="A6" s="9" t="s">
        <v>6</v>
      </c>
      <c r="B6" s="9" t="s">
        <v>7</v>
      </c>
      <c r="C6" s="9" t="s">
        <v>8</v>
      </c>
      <c r="D6" s="9" t="s">
        <v>9</v>
      </c>
      <c r="E6" s="9" t="s">
        <v>10</v>
      </c>
      <c r="F6" s="9" t="s">
        <v>11</v>
      </c>
      <c r="G6" s="9" t="s">
        <v>12</v>
      </c>
      <c r="H6" s="9" t="s">
        <v>13</v>
      </c>
      <c r="I6" s="9" t="s">
        <v>14</v>
      </c>
      <c r="J6" s="9" t="str">
        <f aca="false">"VAT ("&amp;TEXT($C$4,"0%")&amp;")"</f>
        <v>VAT (15%)</v>
      </c>
      <c r="K6" s="9" t="s">
        <v>15</v>
      </c>
      <c r="L6" s="9" t="s">
        <v>16</v>
      </c>
    </row>
    <row r="7" customFormat="false" ht="33.75" hidden="false" customHeight="true" outlineLevel="0" collapsed="false">
      <c r="A7" s="10" t="n">
        <v>1</v>
      </c>
      <c r="B7" s="11" t="s">
        <v>17</v>
      </c>
      <c r="C7" s="12" t="n">
        <v>0.05</v>
      </c>
      <c r="D7" s="13" t="s">
        <v>18</v>
      </c>
      <c r="E7" s="8" t="s">
        <v>19</v>
      </c>
      <c r="F7" s="8" t="n">
        <v>1</v>
      </c>
      <c r="G7" s="7" t="n">
        <v>0.25</v>
      </c>
      <c r="H7" s="14" t="n">
        <f aca="false">IF(ISNUMBER(F7),I7/F7,IFERROR("SAR "&amp;TEXT(I7/VALUE(TRIM(MID(F7,FIND("-",F7)+1,20))),"#,##0.00")&amp;" - SAR "&amp;TEXT(I7/VALUE(TRIM(LEFT(F7,FIND("-",F7)-1))),"#,##0.00"),"-"))</f>
        <v>11937.95</v>
      </c>
      <c r="I7" s="14" t="n">
        <f aca="false">ROUND(I$11*G7,2)</f>
        <v>11937.95</v>
      </c>
      <c r="J7" s="14" t="n">
        <f aca="false">ROUND(I7*$C$4,2)</f>
        <v>1790.69</v>
      </c>
      <c r="K7" s="14" t="n">
        <f aca="false">I7+J7</f>
        <v>13728.64</v>
      </c>
      <c r="L7" s="13" t="s">
        <v>20</v>
      </c>
    </row>
    <row r="8" customFormat="false" ht="33.75" hidden="false" customHeight="true" outlineLevel="0" collapsed="false">
      <c r="A8" s="10"/>
      <c r="B8" s="10"/>
      <c r="C8" s="10"/>
      <c r="D8" s="13" t="s">
        <v>21</v>
      </c>
      <c r="E8" s="8" t="s">
        <v>19</v>
      </c>
      <c r="F8" s="8" t="n">
        <v>1</v>
      </c>
      <c r="G8" s="7" t="n">
        <v>0.3</v>
      </c>
      <c r="H8" s="14" t="n">
        <f aca="false">IF(ISNUMBER(F8),I8/F8,IFERROR("SAR "&amp;TEXT(I8/VALUE(TRIM(MID(F8,FIND("-",F8)+1,20))),"#,##0.00")&amp;" - SAR "&amp;TEXT(I8/VALUE(TRIM(LEFT(F8,FIND("-",F8)-1))),"#,##0.00"),"-"))</f>
        <v>14325.54</v>
      </c>
      <c r="I8" s="14" t="n">
        <f aca="false">ROUND(I$11*G8,2)</f>
        <v>14325.54</v>
      </c>
      <c r="J8" s="14" t="n">
        <f aca="false">ROUND(I8*$C$4,2)</f>
        <v>2148.83</v>
      </c>
      <c r="K8" s="14" t="n">
        <f aca="false">I8+J8</f>
        <v>16474.37</v>
      </c>
      <c r="L8" s="13" t="s">
        <v>22</v>
      </c>
    </row>
    <row r="9" customFormat="false" ht="33.75" hidden="false" customHeight="true" outlineLevel="0" collapsed="false">
      <c r="A9" s="10"/>
      <c r="B9" s="10"/>
      <c r="C9" s="10"/>
      <c r="D9" s="13" t="s">
        <v>23</v>
      </c>
      <c r="E9" s="8" t="s">
        <v>19</v>
      </c>
      <c r="F9" s="8" t="n">
        <v>1</v>
      </c>
      <c r="G9" s="7" t="n">
        <v>0.1</v>
      </c>
      <c r="H9" s="14" t="n">
        <f aca="false">IF(ISNUMBER(F9),I9/F9,IFERROR("SAR "&amp;TEXT(I9/VALUE(TRIM(MID(F9,FIND("-",F9)+1,20))),"#,##0.00")&amp;" - SAR "&amp;TEXT(I9/VALUE(TRIM(LEFT(F9,FIND("-",F9)-1))),"#,##0.00"),"-"))</f>
        <v>4775.18</v>
      </c>
      <c r="I9" s="14" t="n">
        <f aca="false">ROUND(I$11*G9,2)</f>
        <v>4775.18</v>
      </c>
      <c r="J9" s="14" t="n">
        <f aca="false">ROUND(I9*$C$4,2)</f>
        <v>716.28</v>
      </c>
      <c r="K9" s="14" t="n">
        <f aca="false">I9+J9</f>
        <v>5491.46</v>
      </c>
      <c r="L9" s="13" t="s">
        <v>24</v>
      </c>
    </row>
    <row r="10" customFormat="false" ht="33.75" hidden="false" customHeight="true" outlineLevel="0" collapsed="false">
      <c r="A10" s="10"/>
      <c r="B10" s="10"/>
      <c r="C10" s="10"/>
      <c r="D10" s="13" t="s">
        <v>25</v>
      </c>
      <c r="E10" s="8" t="s">
        <v>19</v>
      </c>
      <c r="F10" s="8" t="n">
        <v>1</v>
      </c>
      <c r="G10" s="7" t="n">
        <v>0.35</v>
      </c>
      <c r="H10" s="14" t="n">
        <f aca="false">IF(ISNUMBER(F10),I10/F10,IFERROR("SAR "&amp;TEXT(I10/VALUE(TRIM(MID(F10,FIND("-",F10)+1,20))),"#,##0.00")&amp;" - SAR "&amp;TEXT(I10/VALUE(TRIM(LEFT(F10,FIND("-",F10)-1))),"#,##0.00"),"-"))</f>
        <v>16713.13</v>
      </c>
      <c r="I10" s="14" t="n">
        <f aca="false">I11-SUM(I7:I9)</f>
        <v>16713.13</v>
      </c>
      <c r="J10" s="14" t="n">
        <f aca="false">J11-SUM(J7:J9)</f>
        <v>2506.97</v>
      </c>
      <c r="K10" s="14" t="n">
        <f aca="false">I10+J10</f>
        <v>19220.1</v>
      </c>
      <c r="L10" s="13" t="s">
        <v>26</v>
      </c>
    </row>
    <row r="11" customFormat="false" ht="33.75" hidden="false" customHeight="true" outlineLevel="0" collapsed="false">
      <c r="A11" s="10"/>
      <c r="B11" s="10"/>
      <c r="C11" s="10"/>
      <c r="D11" s="15" t="s">
        <v>27</v>
      </c>
      <c r="E11" s="16" t="s">
        <v>19</v>
      </c>
      <c r="F11" s="16" t="n">
        <v>1</v>
      </c>
      <c r="G11" s="17" t="n">
        <f aca="false">SUM(G7:G10)</f>
        <v>1</v>
      </c>
      <c r="H11" s="18" t="n">
        <f aca="false">IF(ISNUMBER(F11),I11/F11,IFERROR("SAR "&amp;TEXT(I11/VALUE(TRIM(MID(F11,FIND("-",F11)+1,20))),"#,##0.00")&amp;" - SAR "&amp;TEXT(I11/VALUE(TRIM(LEFT(F11,FIND("-",F11)-1))),"#,##0.00"),"-"))</f>
        <v>47751.8</v>
      </c>
      <c r="I11" s="18" t="n">
        <f aca="false">ROUND($C$3*C7,2)</f>
        <v>47751.8</v>
      </c>
      <c r="J11" s="18" t="n">
        <f aca="false">ROUND(I11*$C$4,2)</f>
        <v>7162.77</v>
      </c>
      <c r="K11" s="18" t="n">
        <f aca="false">I11+J11</f>
        <v>54914.57</v>
      </c>
      <c r="L11" s="15" t="s">
        <v>28</v>
      </c>
    </row>
    <row r="12" customFormat="false" ht="33.75" hidden="false" customHeight="true" outlineLevel="0" collapsed="false">
      <c r="A12" s="10" t="n">
        <v>2</v>
      </c>
      <c r="B12" s="11" t="s">
        <v>29</v>
      </c>
      <c r="C12" s="12" t="n">
        <v>0.05</v>
      </c>
      <c r="D12" s="13" t="s">
        <v>30</v>
      </c>
      <c r="E12" s="8" t="s">
        <v>31</v>
      </c>
      <c r="F12" s="8" t="n">
        <v>1</v>
      </c>
      <c r="G12" s="7" t="n">
        <v>0.7</v>
      </c>
      <c r="H12" s="14" t="n">
        <f aca="false">IF(ISNUMBER(F12),I12/F12,IFERROR("SAR "&amp;TEXT(I12/VALUE(TRIM(MID(F12,FIND("-",F12)+1,20))),"#,##0.00")&amp;" - SAR "&amp;TEXT(I12/VALUE(TRIM(LEFT(F12,FIND("-",F12)-1))),"#,##0.00"),"-"))</f>
        <v>33426.26</v>
      </c>
      <c r="I12" s="14" t="n">
        <f aca="false">ROUND(I$14*G12,2)</f>
        <v>33426.26</v>
      </c>
      <c r="J12" s="14" t="n">
        <f aca="false">ROUND(I12*$C$4,2)</f>
        <v>5013.94</v>
      </c>
      <c r="K12" s="14" t="n">
        <f aca="false">I12+J12</f>
        <v>38440.2</v>
      </c>
      <c r="L12" s="13" t="s">
        <v>32</v>
      </c>
    </row>
    <row r="13" customFormat="false" ht="33.75" hidden="false" customHeight="true" outlineLevel="0" collapsed="false">
      <c r="A13" s="10"/>
      <c r="B13" s="10"/>
      <c r="C13" s="10"/>
      <c r="D13" s="13" t="s">
        <v>33</v>
      </c>
      <c r="E13" s="8" t="s">
        <v>31</v>
      </c>
      <c r="F13" s="8" t="n">
        <v>1</v>
      </c>
      <c r="G13" s="7" t="n">
        <v>0.3</v>
      </c>
      <c r="H13" s="14" t="n">
        <f aca="false">IF(ISNUMBER(F13),I13/F13,IFERROR("SAR "&amp;TEXT(I13/VALUE(TRIM(MID(F13,FIND("-",F13)+1,20))),"#,##0.00")&amp;" - SAR "&amp;TEXT(I13/VALUE(TRIM(LEFT(F13,FIND("-",F13)-1))),"#,##0.00"),"-"))</f>
        <v>14325.54</v>
      </c>
      <c r="I13" s="14" t="n">
        <f aca="false">I14-SUM(I12:I12)</f>
        <v>14325.54</v>
      </c>
      <c r="J13" s="14" t="n">
        <f aca="false">J14-SUM(J12:J12)</f>
        <v>2148.83</v>
      </c>
      <c r="K13" s="14" t="n">
        <f aca="false">I13+J13</f>
        <v>16474.37</v>
      </c>
      <c r="L13" s="13" t="s">
        <v>22</v>
      </c>
    </row>
    <row r="14" customFormat="false" ht="33.75" hidden="false" customHeight="true" outlineLevel="0" collapsed="false">
      <c r="A14" s="10"/>
      <c r="B14" s="10"/>
      <c r="C14" s="10"/>
      <c r="D14" s="15" t="s">
        <v>34</v>
      </c>
      <c r="E14" s="16" t="s">
        <v>31</v>
      </c>
      <c r="F14" s="16" t="n">
        <v>1</v>
      </c>
      <c r="G14" s="17" t="n">
        <f aca="false">SUM(G12:G13)</f>
        <v>1</v>
      </c>
      <c r="H14" s="18" t="n">
        <f aca="false">IF(ISNUMBER(F14),I14/F14,IFERROR("SAR "&amp;TEXT(I14/VALUE(TRIM(MID(F14,FIND("-",F14)+1,20))),"#,##0.00")&amp;" - SAR "&amp;TEXT(I14/VALUE(TRIM(LEFT(F14,FIND("-",F14)-1))),"#,##0.00"),"-"))</f>
        <v>47751.8</v>
      </c>
      <c r="I14" s="18" t="n">
        <f aca="false">ROUND($C$3*C12,2)</f>
        <v>47751.8</v>
      </c>
      <c r="J14" s="18" t="n">
        <f aca="false">ROUND(I14*$C$4,2)</f>
        <v>7162.77</v>
      </c>
      <c r="K14" s="18" t="n">
        <f aca="false">I14+J14</f>
        <v>54914.57</v>
      </c>
      <c r="L14" s="15" t="s">
        <v>28</v>
      </c>
    </row>
    <row r="15" customFormat="false" ht="33.75" hidden="false" customHeight="true" outlineLevel="0" collapsed="false">
      <c r="A15" s="10" t="n">
        <v>3</v>
      </c>
      <c r="B15" s="11" t="s">
        <v>35</v>
      </c>
      <c r="C15" s="12" t="n">
        <v>0.03</v>
      </c>
      <c r="D15" s="13" t="s">
        <v>36</v>
      </c>
      <c r="E15" s="8" t="s">
        <v>37</v>
      </c>
      <c r="F15" s="8" t="n">
        <v>6</v>
      </c>
      <c r="G15" s="7" t="n">
        <v>1</v>
      </c>
      <c r="H15" s="14" t="n">
        <f aca="false">IF(ISNUMBER(F15),I15/F15,IFERROR("SAR "&amp;TEXT(I15/VALUE(TRIM(MID(F15,FIND("-",F15)+1,20))),"#,##0.00")&amp;" - SAR "&amp;TEXT(I15/VALUE(TRIM(LEFT(F15,FIND("-",F15)-1))),"#,##0.00"),"-"))</f>
        <v>4775.18</v>
      </c>
      <c r="I15" s="14" t="n">
        <f aca="false">I16</f>
        <v>28651.08</v>
      </c>
      <c r="J15" s="14" t="n">
        <f aca="false">J16</f>
        <v>4297.66</v>
      </c>
      <c r="K15" s="14" t="n">
        <f aca="false">I15+J15</f>
        <v>32948.74</v>
      </c>
      <c r="L15" s="13" t="s">
        <v>38</v>
      </c>
    </row>
    <row r="16" customFormat="false" ht="33.75" hidden="false" customHeight="true" outlineLevel="0" collapsed="false">
      <c r="A16" s="10"/>
      <c r="B16" s="10"/>
      <c r="C16" s="10"/>
      <c r="D16" s="15" t="s">
        <v>39</v>
      </c>
      <c r="E16" s="16" t="s">
        <v>37</v>
      </c>
      <c r="F16" s="16" t="n">
        <v>6</v>
      </c>
      <c r="G16" s="17" t="n">
        <f aca="false">SUM(G15:G15)</f>
        <v>1</v>
      </c>
      <c r="H16" s="18" t="n">
        <f aca="false">IF(ISNUMBER(F16),I16/F16,IFERROR("SAR "&amp;TEXT(I16/VALUE(TRIM(MID(F16,FIND("-",F16)+1,20))),"#,##0.00")&amp;" - SAR "&amp;TEXT(I16/VALUE(TRIM(LEFT(F16,FIND("-",F16)-1))),"#,##0.00"),"-"))</f>
        <v>4775.18</v>
      </c>
      <c r="I16" s="18" t="n">
        <f aca="false">ROUND($C$3*C15,2)</f>
        <v>28651.08</v>
      </c>
      <c r="J16" s="18" t="n">
        <f aca="false">ROUND(I16*$C$4,2)</f>
        <v>4297.66</v>
      </c>
      <c r="K16" s="18" t="n">
        <f aca="false">I16+J16</f>
        <v>32948.74</v>
      </c>
      <c r="L16" s="15" t="s">
        <v>38</v>
      </c>
    </row>
    <row r="17" customFormat="false" ht="33.75" hidden="false" customHeight="true" outlineLevel="0" collapsed="false">
      <c r="A17" s="10" t="n">
        <v>4</v>
      </c>
      <c r="B17" s="11" t="s">
        <v>40</v>
      </c>
      <c r="C17" s="12" t="n">
        <v>0.18</v>
      </c>
      <c r="D17" s="13" t="s">
        <v>41</v>
      </c>
      <c r="E17" s="8" t="s">
        <v>19</v>
      </c>
      <c r="F17" s="8" t="n">
        <v>1</v>
      </c>
      <c r="G17" s="7" t="n">
        <v>0.1</v>
      </c>
      <c r="H17" s="14" t="n">
        <f aca="false">IF(ISNUMBER(F17),I17/F17,IFERROR("SAR "&amp;TEXT(I17/VALUE(TRIM(MID(F17,FIND("-",F17)+1,20))),"#,##0.00")&amp;" - SAR "&amp;TEXT(I17/VALUE(TRIM(LEFT(F17,FIND("-",F17)-1))),"#,##0.00"),"-"))</f>
        <v>17190.65</v>
      </c>
      <c r="I17" s="14" t="n">
        <f aca="false">ROUND(I$21*G17,2)</f>
        <v>17190.65</v>
      </c>
      <c r="J17" s="14" t="n">
        <f aca="false">ROUND(I17*$C$4,2)</f>
        <v>2578.6</v>
      </c>
      <c r="K17" s="14" t="n">
        <f aca="false">I17+J17</f>
        <v>19769.25</v>
      </c>
      <c r="L17" s="13" t="s">
        <v>42</v>
      </c>
    </row>
    <row r="18" customFormat="false" ht="33.75" hidden="false" customHeight="true" outlineLevel="0" collapsed="false">
      <c r="A18" s="10"/>
      <c r="B18" s="10"/>
      <c r="C18" s="10"/>
      <c r="D18" s="13" t="s">
        <v>43</v>
      </c>
      <c r="E18" s="8" t="s">
        <v>19</v>
      </c>
      <c r="F18" s="8" t="n">
        <v>1</v>
      </c>
      <c r="G18" s="7" t="n">
        <v>0.35</v>
      </c>
      <c r="H18" s="14" t="n">
        <f aca="false">IF(ISNUMBER(F18),I18/F18,IFERROR("SAR "&amp;TEXT(I18/VALUE(TRIM(MID(F18,FIND("-",F18)+1,20))),"#,##0.00")&amp;" - SAR "&amp;TEXT(I18/VALUE(TRIM(LEFT(F18,FIND("-",F18)-1))),"#,##0.00"),"-"))</f>
        <v>60167.28</v>
      </c>
      <c r="I18" s="14" t="n">
        <f aca="false">ROUND(I$21*G18,2)</f>
        <v>60167.28</v>
      </c>
      <c r="J18" s="14" t="n">
        <f aca="false">ROUND(I18*$C$4,2)</f>
        <v>9025.09</v>
      </c>
      <c r="K18" s="14" t="n">
        <f aca="false">I18+J18</f>
        <v>69192.37</v>
      </c>
      <c r="L18" s="13" t="s">
        <v>44</v>
      </c>
    </row>
    <row r="19" customFormat="false" ht="33.75" hidden="false" customHeight="true" outlineLevel="0" collapsed="false">
      <c r="A19" s="10"/>
      <c r="B19" s="10"/>
      <c r="C19" s="10"/>
      <c r="D19" s="13" t="s">
        <v>45</v>
      </c>
      <c r="E19" s="8" t="s">
        <v>19</v>
      </c>
      <c r="F19" s="8" t="n">
        <v>1</v>
      </c>
      <c r="G19" s="7" t="n">
        <v>0.4</v>
      </c>
      <c r="H19" s="14" t="n">
        <f aca="false">IF(ISNUMBER(F19),I19/F19,IFERROR("SAR "&amp;TEXT(I19/VALUE(TRIM(MID(F19,FIND("-",F19)+1,20))),"#,##0.00")&amp;" - SAR "&amp;TEXT(I19/VALUE(TRIM(LEFT(F19,FIND("-",F19)-1))),"#,##0.00"),"-"))</f>
        <v>68762.6</v>
      </c>
      <c r="I19" s="14" t="n">
        <f aca="false">ROUND(I$21*G19,2)</f>
        <v>68762.6</v>
      </c>
      <c r="J19" s="14" t="n">
        <f aca="false">ROUND(I19*$C$4,2)</f>
        <v>10314.39</v>
      </c>
      <c r="K19" s="14" t="n">
        <f aca="false">I19+J19</f>
        <v>79076.99</v>
      </c>
      <c r="L19" s="13" t="s">
        <v>46</v>
      </c>
    </row>
    <row r="20" customFormat="false" ht="33.75" hidden="false" customHeight="true" outlineLevel="0" collapsed="false">
      <c r="A20" s="10"/>
      <c r="B20" s="10"/>
      <c r="C20" s="10"/>
      <c r="D20" s="13" t="s">
        <v>47</v>
      </c>
      <c r="E20" s="8" t="s">
        <v>19</v>
      </c>
      <c r="F20" s="8" t="n">
        <v>1</v>
      </c>
      <c r="G20" s="7" t="n">
        <v>0.15</v>
      </c>
      <c r="H20" s="14" t="n">
        <f aca="false">IF(ISNUMBER(F20),I20/F20,IFERROR("SAR "&amp;TEXT(I20/VALUE(TRIM(MID(F20,FIND("-",F20)+1,20))),"#,##0.00")&amp;" - SAR "&amp;TEXT(I20/VALUE(TRIM(LEFT(F20,FIND("-",F20)-1))),"#,##0.00"),"-"))</f>
        <v>25785.97</v>
      </c>
      <c r="I20" s="14" t="n">
        <f aca="false">I21-SUM(I17:I19)</f>
        <v>25785.97</v>
      </c>
      <c r="J20" s="14" t="n">
        <f aca="false">J21-SUM(J17:J19)</f>
        <v>3867.9</v>
      </c>
      <c r="K20" s="14" t="n">
        <f aca="false">I20+J20</f>
        <v>29653.87</v>
      </c>
      <c r="L20" s="13" t="s">
        <v>48</v>
      </c>
    </row>
    <row r="21" customFormat="false" ht="33.75" hidden="false" customHeight="true" outlineLevel="0" collapsed="false">
      <c r="A21" s="10"/>
      <c r="B21" s="10"/>
      <c r="C21" s="10"/>
      <c r="D21" s="15" t="s">
        <v>49</v>
      </c>
      <c r="E21" s="16" t="s">
        <v>19</v>
      </c>
      <c r="F21" s="16" t="n">
        <v>1</v>
      </c>
      <c r="G21" s="17" t="n">
        <f aca="false">SUM(G17:G20)</f>
        <v>1</v>
      </c>
      <c r="H21" s="18" t="n">
        <f aca="false">IF(ISNUMBER(F21),I21/F21,IFERROR("SAR "&amp;TEXT(I21/VALUE(TRIM(MID(F21,FIND("-",F21)+1,20))),"#,##0.00")&amp;" - SAR "&amp;TEXT(I21/VALUE(TRIM(LEFT(F21,FIND("-",F21)-1))),"#,##0.00"),"-"))</f>
        <v>171906.5</v>
      </c>
      <c r="I21" s="18" t="n">
        <f aca="false">ROUND($C$3*C17,2)</f>
        <v>171906.5</v>
      </c>
      <c r="J21" s="18" t="n">
        <f aca="false">ROUND(I21*$C$4,2)</f>
        <v>25785.98</v>
      </c>
      <c r="K21" s="18" t="n">
        <f aca="false">I21+J21</f>
        <v>197692.48</v>
      </c>
      <c r="L21" s="15" t="s">
        <v>50</v>
      </c>
    </row>
    <row r="22" customFormat="false" ht="33.75" hidden="false" customHeight="true" outlineLevel="0" collapsed="false">
      <c r="A22" s="10" t="n">
        <v>5</v>
      </c>
      <c r="B22" s="11" t="s">
        <v>51</v>
      </c>
      <c r="C22" s="12" t="n">
        <v>0.02</v>
      </c>
      <c r="D22" s="13" t="s">
        <v>51</v>
      </c>
      <c r="E22" s="8" t="s">
        <v>52</v>
      </c>
      <c r="F22" s="8" t="n">
        <v>1</v>
      </c>
      <c r="G22" s="7" t="n">
        <v>1</v>
      </c>
      <c r="H22" s="14" t="n">
        <f aca="false">IF(ISNUMBER(F22),I22/F22,IFERROR("SAR "&amp;TEXT(I22/VALUE(TRIM(MID(F22,FIND("-",F22)+1,20))),"#,##0.00")&amp;" - SAR "&amp;TEXT(I22/VALUE(TRIM(LEFT(F22,FIND("-",F22)-1))),"#,##0.00"),"-"))</f>
        <v>19100.72</v>
      </c>
      <c r="I22" s="14" t="n">
        <f aca="false">I23</f>
        <v>19100.72</v>
      </c>
      <c r="J22" s="14" t="n">
        <f aca="false">J23</f>
        <v>2865.11</v>
      </c>
      <c r="K22" s="14" t="n">
        <f aca="false">I22+J22</f>
        <v>21965.83</v>
      </c>
      <c r="L22" s="13" t="s">
        <v>53</v>
      </c>
    </row>
    <row r="23" customFormat="false" ht="33.75" hidden="false" customHeight="true" outlineLevel="0" collapsed="false">
      <c r="A23" s="10"/>
      <c r="B23" s="10"/>
      <c r="C23" s="10"/>
      <c r="D23" s="15" t="s">
        <v>54</v>
      </c>
      <c r="E23" s="16" t="s">
        <v>52</v>
      </c>
      <c r="F23" s="16" t="n">
        <v>1</v>
      </c>
      <c r="G23" s="17" t="n">
        <f aca="false">SUM(G22:G22)</f>
        <v>1</v>
      </c>
      <c r="H23" s="18" t="n">
        <f aca="false">IF(ISNUMBER(F23),I23/F23,IFERROR("SAR "&amp;TEXT(I23/VALUE(TRIM(MID(F23,FIND("-",F23)+1,20))),"#,##0.00")&amp;" - SAR "&amp;TEXT(I23/VALUE(TRIM(LEFT(F23,FIND("-",F23)-1))),"#,##0.00"),"-"))</f>
        <v>19100.72</v>
      </c>
      <c r="I23" s="18" t="n">
        <f aca="false">ROUND($C$3*C22,2)</f>
        <v>19100.72</v>
      </c>
      <c r="J23" s="18" t="n">
        <f aca="false">ROUND(I23*$C$4,2)</f>
        <v>2865.11</v>
      </c>
      <c r="K23" s="18" t="n">
        <f aca="false">I23+J23</f>
        <v>21965.83</v>
      </c>
      <c r="L23" s="15" t="s">
        <v>53</v>
      </c>
    </row>
    <row r="24" customFormat="false" ht="33.75" hidden="false" customHeight="true" outlineLevel="0" collapsed="false">
      <c r="A24" s="10" t="n">
        <v>6</v>
      </c>
      <c r="B24" s="11" t="s">
        <v>55</v>
      </c>
      <c r="C24" s="12" t="n">
        <v>0.1</v>
      </c>
      <c r="D24" s="13" t="s">
        <v>56</v>
      </c>
      <c r="E24" s="8" t="s">
        <v>19</v>
      </c>
      <c r="F24" s="8" t="n">
        <v>1</v>
      </c>
      <c r="G24" s="7" t="n">
        <v>1</v>
      </c>
      <c r="H24" s="14" t="n">
        <f aca="false">IF(ISNUMBER(F24),I24/F24,IFERROR("SAR "&amp;TEXT(I24/VALUE(TRIM(MID(F24,FIND("-",F24)+1,20))),"#,##0.00")&amp;" - SAR "&amp;TEXT(I24/VALUE(TRIM(LEFT(F24,FIND("-",F24)-1))),"#,##0.00"),"-"))</f>
        <v>95503.61</v>
      </c>
      <c r="I24" s="14" t="n">
        <f aca="false">I25</f>
        <v>95503.61</v>
      </c>
      <c r="J24" s="14" t="n">
        <f aca="false">J25</f>
        <v>14325.54</v>
      </c>
      <c r="K24" s="14" t="n">
        <f aca="false">I24+J24</f>
        <v>109829.15</v>
      </c>
      <c r="L24" s="13" t="s">
        <v>57</v>
      </c>
    </row>
    <row r="25" customFormat="false" ht="33.75" hidden="false" customHeight="true" outlineLevel="0" collapsed="false">
      <c r="A25" s="10"/>
      <c r="B25" s="10"/>
      <c r="C25" s="10"/>
      <c r="D25" s="15" t="s">
        <v>58</v>
      </c>
      <c r="E25" s="16" t="s">
        <v>19</v>
      </c>
      <c r="F25" s="16" t="n">
        <v>1</v>
      </c>
      <c r="G25" s="17" t="n">
        <f aca="false">SUM(G24:G24)</f>
        <v>1</v>
      </c>
      <c r="H25" s="18" t="n">
        <f aca="false">IF(ISNUMBER(F25),I25/F25,IFERROR("SAR "&amp;TEXT(I25/VALUE(TRIM(MID(F25,FIND("-",F25)+1,20))),"#,##0.00")&amp;" - SAR "&amp;TEXT(I25/VALUE(TRIM(LEFT(F25,FIND("-",F25)-1))),"#,##0.00"),"-"))</f>
        <v>95503.61</v>
      </c>
      <c r="I25" s="18" t="n">
        <f aca="false">ROUND($C$3*C24,2)</f>
        <v>95503.61</v>
      </c>
      <c r="J25" s="18" t="n">
        <f aca="false">ROUND(I25*$C$4,2)</f>
        <v>14325.54</v>
      </c>
      <c r="K25" s="18" t="n">
        <f aca="false">I25+J25</f>
        <v>109829.15</v>
      </c>
      <c r="L25" s="15" t="s">
        <v>57</v>
      </c>
    </row>
    <row r="26" customFormat="false" ht="33.75" hidden="false" customHeight="true" outlineLevel="0" collapsed="false">
      <c r="A26" s="10" t="n">
        <v>7</v>
      </c>
      <c r="B26" s="11" t="s">
        <v>59</v>
      </c>
      <c r="C26" s="12" t="n">
        <v>0.05</v>
      </c>
      <c r="D26" s="13" t="s">
        <v>60</v>
      </c>
      <c r="E26" s="8" t="s">
        <v>61</v>
      </c>
      <c r="F26" s="8" t="n">
        <v>1</v>
      </c>
      <c r="G26" s="7" t="n">
        <v>1</v>
      </c>
      <c r="H26" s="14" t="n">
        <f aca="false">IF(ISNUMBER(F26),I26/F26,IFERROR("SAR "&amp;TEXT(I26/VALUE(TRIM(MID(F26,FIND("-",F26)+1,20))),"#,##0.00")&amp;" - SAR "&amp;TEXT(I26/VALUE(TRIM(LEFT(F26,FIND("-",F26)-1))),"#,##0.00"),"-"))</f>
        <v>47751.8</v>
      </c>
      <c r="I26" s="14" t="n">
        <f aca="false">I27</f>
        <v>47751.8</v>
      </c>
      <c r="J26" s="14" t="n">
        <f aca="false">J27</f>
        <v>7162.77</v>
      </c>
      <c r="K26" s="14" t="n">
        <f aca="false">I26+J26</f>
        <v>54914.57</v>
      </c>
      <c r="L26" s="13" t="s">
        <v>28</v>
      </c>
    </row>
    <row r="27" customFormat="false" ht="33.75" hidden="false" customHeight="true" outlineLevel="0" collapsed="false">
      <c r="A27" s="10"/>
      <c r="B27" s="10"/>
      <c r="C27" s="10"/>
      <c r="D27" s="15" t="s">
        <v>62</v>
      </c>
      <c r="E27" s="16" t="s">
        <v>61</v>
      </c>
      <c r="F27" s="16" t="n">
        <v>1</v>
      </c>
      <c r="G27" s="17" t="n">
        <f aca="false">SUM(G26:G26)</f>
        <v>1</v>
      </c>
      <c r="H27" s="18" t="n">
        <f aca="false">IF(ISNUMBER(F27),I27/F27,IFERROR("SAR "&amp;TEXT(I27/VALUE(TRIM(MID(F27,FIND("-",F27)+1,20))),"#,##0.00")&amp;" - SAR "&amp;TEXT(I27/VALUE(TRIM(LEFT(F27,FIND("-",F27)-1))),"#,##0.00"),"-"))</f>
        <v>47751.8</v>
      </c>
      <c r="I27" s="18" t="n">
        <f aca="false">ROUND($C$3*C26,2)</f>
        <v>47751.8</v>
      </c>
      <c r="J27" s="18" t="n">
        <f aca="false">ROUND(I27*$C$4,2)</f>
        <v>7162.77</v>
      </c>
      <c r="K27" s="18" t="n">
        <f aca="false">I27+J27</f>
        <v>54914.57</v>
      </c>
      <c r="L27" s="15" t="s">
        <v>28</v>
      </c>
    </row>
    <row r="28" customFormat="false" ht="33.75" hidden="false" customHeight="true" outlineLevel="0" collapsed="false">
      <c r="A28" s="10" t="n">
        <v>8</v>
      </c>
      <c r="B28" s="11" t="s">
        <v>63</v>
      </c>
      <c r="C28" s="12" t="n">
        <v>0.107</v>
      </c>
      <c r="D28" s="13" t="s">
        <v>64</v>
      </c>
      <c r="E28" s="8" t="s">
        <v>65</v>
      </c>
      <c r="F28" s="8" t="n">
        <v>1</v>
      </c>
      <c r="G28" s="7" t="n">
        <f aca="false">1/2</f>
        <v>0.5</v>
      </c>
      <c r="H28" s="14" t="n">
        <f aca="false">IF(ISNUMBER(F28),I28/F28,IFERROR("SAR "&amp;TEXT(I28/VALUE(TRIM(MID(F28,FIND("-",F28)+1,20))),"#,##0.00")&amp;" - SAR "&amp;TEXT(I28/VALUE(TRIM(LEFT(F28,FIND("-",F28)-1))),"#,##0.00"),"-"))</f>
        <v>51094.43</v>
      </c>
      <c r="I28" s="14" t="n">
        <f aca="false">ROUND(I$30*G28,2)</f>
        <v>51094.43</v>
      </c>
      <c r="J28" s="14" t="n">
        <f aca="false">ROUND(I28*$C$4,2)</f>
        <v>7664.16</v>
      </c>
      <c r="K28" s="14" t="n">
        <f aca="false">I28+J28</f>
        <v>58758.59</v>
      </c>
      <c r="L28" s="13" t="s">
        <v>66</v>
      </c>
    </row>
    <row r="29" customFormat="false" ht="33.75" hidden="false" customHeight="true" outlineLevel="0" collapsed="false">
      <c r="A29" s="10"/>
      <c r="B29" s="10"/>
      <c r="C29" s="10"/>
      <c r="D29" s="13" t="s">
        <v>67</v>
      </c>
      <c r="E29" s="8" t="s">
        <v>68</v>
      </c>
      <c r="F29" s="8" t="n">
        <v>220</v>
      </c>
      <c r="G29" s="7" t="n">
        <f aca="false">1/2</f>
        <v>0.5</v>
      </c>
      <c r="H29" s="14" t="n">
        <f aca="false">IF(ISNUMBER(F29),I29/F29,IFERROR("SAR "&amp;TEXT(I29/VALUE(TRIM(MID(F29,FIND("-",F29)+1,20))),"#,##0.00")&amp;" - SAR "&amp;TEXT(I29/VALUE(TRIM(LEFT(F29,FIND("-",F29)-1))),"#,##0.00"),"-"))</f>
        <v>232.247409090909</v>
      </c>
      <c r="I29" s="14" t="n">
        <f aca="false">I30-SUM(I28:I28)</f>
        <v>51094.43</v>
      </c>
      <c r="J29" s="14" t="n">
        <f aca="false">J30-SUM(J28:J28)</f>
        <v>7664.17</v>
      </c>
      <c r="K29" s="14" t="n">
        <f aca="false">I29+J29</f>
        <v>58758.6</v>
      </c>
      <c r="L29" s="13" t="s">
        <v>69</v>
      </c>
    </row>
    <row r="30" customFormat="false" ht="33.75" hidden="false" customHeight="true" outlineLevel="0" collapsed="false">
      <c r="A30" s="10"/>
      <c r="B30" s="10"/>
      <c r="C30" s="10"/>
      <c r="D30" s="15" t="s">
        <v>70</v>
      </c>
      <c r="E30" s="16" t="s">
        <v>65</v>
      </c>
      <c r="F30" s="16" t="n">
        <v>1</v>
      </c>
      <c r="G30" s="17" t="n">
        <f aca="false">SUM(G28:G29)</f>
        <v>1</v>
      </c>
      <c r="H30" s="18" t="n">
        <f aca="false">IF(ISNUMBER(F30),I30/F30,IFERROR("SAR "&amp;TEXT(I30/VALUE(TRIM(MID(F30,FIND("-",F30)+1,20))),"#,##0.00")&amp;" - SAR "&amp;TEXT(I30/VALUE(TRIM(LEFT(F30,FIND("-",F30)-1))),"#,##0.00"),"-"))</f>
        <v>102188.86</v>
      </c>
      <c r="I30" s="18" t="n">
        <f aca="false">ROUND($C$3*C28,2)</f>
        <v>102188.86</v>
      </c>
      <c r="J30" s="18" t="n">
        <f aca="false">ROUND(I30*$C$4,2)</f>
        <v>15328.33</v>
      </c>
      <c r="K30" s="18" t="n">
        <f aca="false">I30+J30</f>
        <v>117517.19</v>
      </c>
      <c r="L30" s="15" t="s">
        <v>71</v>
      </c>
    </row>
    <row r="31" customFormat="false" ht="33.75" hidden="false" customHeight="true" outlineLevel="0" collapsed="false">
      <c r="A31" s="10" t="n">
        <v>9</v>
      </c>
      <c r="B31" s="11" t="s">
        <v>72</v>
      </c>
      <c r="C31" s="12" t="n">
        <v>0.02</v>
      </c>
      <c r="D31" s="13" t="s">
        <v>73</v>
      </c>
      <c r="E31" s="8" t="s">
        <v>19</v>
      </c>
      <c r="F31" s="8" t="n">
        <v>1</v>
      </c>
      <c r="G31" s="7" t="n">
        <v>1</v>
      </c>
      <c r="H31" s="14" t="n">
        <f aca="false">IF(ISNUMBER(F31),I31/F31,IFERROR("SAR "&amp;TEXT(I31/VALUE(TRIM(MID(F31,FIND("-",F31)+1,20))),"#,##0.00")&amp;" - SAR "&amp;TEXT(I31/VALUE(TRIM(LEFT(F31,FIND("-",F31)-1))),"#,##0.00"),"-"))</f>
        <v>19100.72</v>
      </c>
      <c r="I31" s="14" t="n">
        <f aca="false">I32</f>
        <v>19100.72</v>
      </c>
      <c r="J31" s="14" t="n">
        <f aca="false">J32</f>
        <v>2865.11</v>
      </c>
      <c r="K31" s="14" t="n">
        <f aca="false">I31+J31</f>
        <v>21965.83</v>
      </c>
      <c r="L31" s="13" t="s">
        <v>53</v>
      </c>
    </row>
    <row r="32" customFormat="false" ht="33.75" hidden="false" customHeight="true" outlineLevel="0" collapsed="false">
      <c r="A32" s="10"/>
      <c r="B32" s="10"/>
      <c r="C32" s="10"/>
      <c r="D32" s="15" t="s">
        <v>74</v>
      </c>
      <c r="E32" s="16" t="s">
        <v>19</v>
      </c>
      <c r="F32" s="16" t="n">
        <v>1</v>
      </c>
      <c r="G32" s="17" t="n">
        <f aca="false">SUM(G31:G31)</f>
        <v>1</v>
      </c>
      <c r="H32" s="18" t="n">
        <f aca="false">IF(ISNUMBER(F32),I32/F32,IFERROR("SAR "&amp;TEXT(I32/VALUE(TRIM(MID(F32,FIND("-",F32)+1,20))),"#,##0.00")&amp;" - SAR "&amp;TEXT(I32/VALUE(TRIM(LEFT(F32,FIND("-",F32)-1))),"#,##0.00"),"-"))</f>
        <v>19100.72</v>
      </c>
      <c r="I32" s="18" t="n">
        <f aca="false">ROUND($C$3*C31,2)</f>
        <v>19100.72</v>
      </c>
      <c r="J32" s="18" t="n">
        <f aca="false">ROUND(I32*$C$4,2)</f>
        <v>2865.11</v>
      </c>
      <c r="K32" s="18" t="n">
        <f aca="false">I32+J32</f>
        <v>21965.83</v>
      </c>
      <c r="L32" s="15" t="s">
        <v>53</v>
      </c>
    </row>
    <row r="33" customFormat="false" ht="33.75" hidden="false" customHeight="true" outlineLevel="0" collapsed="false">
      <c r="A33" s="10" t="n">
        <v>10</v>
      </c>
      <c r="B33" s="11" t="s">
        <v>75</v>
      </c>
      <c r="C33" s="12" t="n">
        <v>0.06</v>
      </c>
      <c r="D33" s="13" t="s">
        <v>76</v>
      </c>
      <c r="E33" s="8" t="s">
        <v>77</v>
      </c>
      <c r="F33" s="8" t="n">
        <v>1</v>
      </c>
      <c r="G33" s="7" t="n">
        <v>0.45</v>
      </c>
      <c r="H33" s="14" t="n">
        <f aca="false">IF(ISNUMBER(F33),I33/F33,IFERROR("SAR "&amp;TEXT(I33/VALUE(TRIM(MID(F33,FIND("-",F33)+1,20))),"#,##0.00")&amp;" - SAR "&amp;TEXT(I33/VALUE(TRIM(LEFT(F33,FIND("-",F33)-1))),"#,##0.00"),"-"))</f>
        <v>25785.98</v>
      </c>
      <c r="I33" s="14" t="n">
        <f aca="false">ROUND(I$36*G33,2)</f>
        <v>25785.98</v>
      </c>
      <c r="J33" s="14" t="n">
        <f aca="false">ROUND(I33*$C$4,2)</f>
        <v>3867.9</v>
      </c>
      <c r="K33" s="14" t="n">
        <f aca="false">I33+J33</f>
        <v>29653.88</v>
      </c>
      <c r="L33" s="13" t="s">
        <v>78</v>
      </c>
    </row>
    <row r="34" customFormat="false" ht="33.75" hidden="false" customHeight="true" outlineLevel="0" collapsed="false">
      <c r="A34" s="10"/>
      <c r="B34" s="10"/>
      <c r="C34" s="10"/>
      <c r="D34" s="13" t="s">
        <v>79</v>
      </c>
      <c r="E34" s="8" t="s">
        <v>80</v>
      </c>
      <c r="F34" s="8" t="n">
        <v>3</v>
      </c>
      <c r="G34" s="7" t="n">
        <v>0.25</v>
      </c>
      <c r="H34" s="14" t="n">
        <f aca="false">IF(ISNUMBER(F34),I34/F34,IFERROR("SAR "&amp;TEXT(I34/VALUE(TRIM(MID(F34,FIND("-",F34)+1,20))),"#,##0.00")&amp;" - SAR "&amp;TEXT(I34/VALUE(TRIM(LEFT(F34,FIND("-",F34)-1))),"#,##0.00"),"-"))</f>
        <v>4775.18</v>
      </c>
      <c r="I34" s="14" t="n">
        <f aca="false">ROUND(I$36*G34,2)</f>
        <v>14325.54</v>
      </c>
      <c r="J34" s="14" t="n">
        <f aca="false">ROUND(I34*$C$4,2)</f>
        <v>2148.83</v>
      </c>
      <c r="K34" s="14" t="n">
        <f aca="false">I34+J34</f>
        <v>16474.37</v>
      </c>
      <c r="L34" s="13" t="s">
        <v>22</v>
      </c>
    </row>
    <row r="35" customFormat="false" ht="33.75" hidden="false" customHeight="true" outlineLevel="0" collapsed="false">
      <c r="A35" s="10"/>
      <c r="B35" s="10"/>
      <c r="C35" s="10"/>
      <c r="D35" s="13" t="s">
        <v>81</v>
      </c>
      <c r="E35" s="8" t="s">
        <v>77</v>
      </c>
      <c r="F35" s="8" t="n">
        <v>1</v>
      </c>
      <c r="G35" s="7" t="n">
        <v>0.3</v>
      </c>
      <c r="H35" s="14" t="n">
        <f aca="false">IF(ISNUMBER(F35),I35/F35,IFERROR("SAR "&amp;TEXT(I35/VALUE(TRIM(MID(F35,FIND("-",F35)+1,20))),"#,##0.00")&amp;" - SAR "&amp;TEXT(I35/VALUE(TRIM(LEFT(F35,FIND("-",F35)-1))),"#,##0.00"),"-"))</f>
        <v>17190.65</v>
      </c>
      <c r="I35" s="14" t="n">
        <f aca="false">I36-SUM(I33:I34)</f>
        <v>17190.65</v>
      </c>
      <c r="J35" s="14" t="n">
        <f aca="false">J36-SUM(J33:J34)</f>
        <v>2578.6</v>
      </c>
      <c r="K35" s="14" t="n">
        <f aca="false">I35+J35</f>
        <v>19769.25</v>
      </c>
      <c r="L35" s="13" t="s">
        <v>42</v>
      </c>
    </row>
    <row r="36" customFormat="false" ht="33.75" hidden="false" customHeight="true" outlineLevel="0" collapsed="false">
      <c r="A36" s="10"/>
      <c r="B36" s="10"/>
      <c r="C36" s="10"/>
      <c r="D36" s="15" t="s">
        <v>82</v>
      </c>
      <c r="E36" s="16" t="s">
        <v>83</v>
      </c>
      <c r="F36" s="16" t="n">
        <v>5</v>
      </c>
      <c r="G36" s="17" t="n">
        <f aca="false">SUM(G33:G35)</f>
        <v>1</v>
      </c>
      <c r="H36" s="18" t="n">
        <f aca="false">IF(ISNUMBER(F36),I36/F36,IFERROR("SAR "&amp;TEXT(I36/VALUE(TRIM(MID(F36,FIND("-",F36)+1,20))),"#,##0.00")&amp;" - SAR "&amp;TEXT(I36/VALUE(TRIM(LEFT(F36,FIND("-",F36)-1))),"#,##0.00"),"-"))</f>
        <v>11460.434</v>
      </c>
      <c r="I36" s="18" t="n">
        <f aca="false">ROUND($C$3*C33,2)</f>
        <v>57302.17</v>
      </c>
      <c r="J36" s="18" t="n">
        <f aca="false">ROUND(I36*$C$4,2)</f>
        <v>8595.33</v>
      </c>
      <c r="K36" s="18" t="n">
        <f aca="false">I36+J36</f>
        <v>65897.5</v>
      </c>
      <c r="L36" s="15" t="s">
        <v>84</v>
      </c>
    </row>
    <row r="37" customFormat="false" ht="33.75" hidden="false" customHeight="true" outlineLevel="0" collapsed="false">
      <c r="A37" s="10" t="n">
        <v>11</v>
      </c>
      <c r="B37" s="11" t="s">
        <v>85</v>
      </c>
      <c r="C37" s="12" t="n">
        <v>0.273</v>
      </c>
      <c r="D37" s="13" t="s">
        <v>86</v>
      </c>
      <c r="E37" s="8" t="s">
        <v>19</v>
      </c>
      <c r="F37" s="8" t="n">
        <v>1</v>
      </c>
      <c r="G37" s="7" t="n">
        <v>0.25</v>
      </c>
      <c r="H37" s="14" t="n">
        <f aca="false">IF(ISNUMBER(F37),I37/F37,IFERROR("SAR "&amp;TEXT(I37/VALUE(TRIM(MID(F37,FIND("-",F37)+1,20))),"#,##0.00")&amp;" - SAR "&amp;TEXT(I37/VALUE(TRIM(LEFT(F37,FIND("-",F37)-1))),"#,##0.00"),"-"))</f>
        <v>65181.21</v>
      </c>
      <c r="I37" s="14" t="n">
        <f aca="false">ROUND(I$41*G37,2)</f>
        <v>65181.21</v>
      </c>
      <c r="J37" s="14" t="n">
        <f aca="false">ROUND(I37*$C$4,2)</f>
        <v>9777.18</v>
      </c>
      <c r="K37" s="14" t="n">
        <f aca="false">I37+J37</f>
        <v>74958.39</v>
      </c>
      <c r="L37" s="13" t="s">
        <v>87</v>
      </c>
    </row>
    <row r="38" customFormat="false" ht="33.75" hidden="false" customHeight="true" outlineLevel="0" collapsed="false">
      <c r="A38" s="10"/>
      <c r="B38" s="10"/>
      <c r="C38" s="10"/>
      <c r="D38" s="13" t="s">
        <v>88</v>
      </c>
      <c r="E38" s="8" t="s">
        <v>19</v>
      </c>
      <c r="F38" s="8" t="n">
        <v>1</v>
      </c>
      <c r="G38" s="7" t="n">
        <v>0.35</v>
      </c>
      <c r="H38" s="14" t="n">
        <f aca="false">IF(ISNUMBER(F38),I38/F38,IFERROR("SAR "&amp;TEXT(I38/VALUE(TRIM(MID(F38,FIND("-",F38)+1,20))),"#,##0.00")&amp;" - SAR "&amp;TEXT(I38/VALUE(TRIM(LEFT(F38,FIND("-",F38)-1))),"#,##0.00"),"-"))</f>
        <v>91253.7</v>
      </c>
      <c r="I38" s="14" t="n">
        <f aca="false">ROUND(I$41*G38,2)</f>
        <v>91253.7</v>
      </c>
      <c r="J38" s="14" t="n">
        <f aca="false">ROUND(I38*$C$4,2)</f>
        <v>13688.06</v>
      </c>
      <c r="K38" s="14" t="n">
        <f aca="false">I38+J38</f>
        <v>104941.76</v>
      </c>
      <c r="L38" s="13" t="s">
        <v>89</v>
      </c>
    </row>
    <row r="39" customFormat="false" ht="33.75" hidden="false" customHeight="true" outlineLevel="0" collapsed="false">
      <c r="A39" s="10"/>
      <c r="B39" s="10"/>
      <c r="C39" s="10"/>
      <c r="D39" s="13" t="s">
        <v>90</v>
      </c>
      <c r="E39" s="8" t="s">
        <v>91</v>
      </c>
      <c r="F39" s="8" t="n">
        <v>1</v>
      </c>
      <c r="G39" s="7" t="n">
        <v>0.15</v>
      </c>
      <c r="H39" s="14" t="n">
        <f aca="false">IF(ISNUMBER(F39),I39/F39,IFERROR("SAR "&amp;TEXT(I39/VALUE(TRIM(MID(F39,FIND("-",F39)+1,20))),"#,##0.00")&amp;" - SAR "&amp;TEXT(I39/VALUE(TRIM(LEFT(F39,FIND("-",F39)-1))),"#,##0.00"),"-"))</f>
        <v>39108.73</v>
      </c>
      <c r="I39" s="14" t="n">
        <f aca="false">ROUND(I$41*G39,2)</f>
        <v>39108.73</v>
      </c>
      <c r="J39" s="14" t="n">
        <f aca="false">ROUND(I39*$C$4,2)</f>
        <v>5866.31</v>
      </c>
      <c r="K39" s="14" t="n">
        <f aca="false">I39+J39</f>
        <v>44975.04</v>
      </c>
      <c r="L39" s="13" t="s">
        <v>92</v>
      </c>
    </row>
    <row r="40" customFormat="false" ht="33.75" hidden="false" customHeight="true" outlineLevel="0" collapsed="false">
      <c r="A40" s="10"/>
      <c r="B40" s="10"/>
      <c r="C40" s="10"/>
      <c r="D40" s="13" t="s">
        <v>93</v>
      </c>
      <c r="E40" s="8" t="s">
        <v>52</v>
      </c>
      <c r="F40" s="8" t="n">
        <v>1</v>
      </c>
      <c r="G40" s="7" t="n">
        <v>0.25</v>
      </c>
      <c r="H40" s="14" t="n">
        <f aca="false">IF(ISNUMBER(F40),I40/F40,IFERROR("SAR "&amp;TEXT(I40/VALUE(TRIM(MID(F40,FIND("-",F40)+1,20))),"#,##0.00")&amp;" - SAR "&amp;TEXT(I40/VALUE(TRIM(LEFT(F40,FIND("-",F40)-1))),"#,##0.00"),"-"))</f>
        <v>65181.21</v>
      </c>
      <c r="I40" s="14" t="n">
        <f aca="false">I41-SUM(I37:I39)</f>
        <v>65181.21</v>
      </c>
      <c r="J40" s="14" t="n">
        <f aca="false">J41-SUM(J37:J39)</f>
        <v>9777.18</v>
      </c>
      <c r="K40" s="14" t="n">
        <f aca="false">I40+J40</f>
        <v>74958.39</v>
      </c>
      <c r="L40" s="13" t="s">
        <v>87</v>
      </c>
    </row>
    <row r="41" customFormat="false" ht="33.75" hidden="false" customHeight="true" outlineLevel="0" collapsed="false">
      <c r="A41" s="10"/>
      <c r="B41" s="10"/>
      <c r="C41" s="10"/>
      <c r="D41" s="15" t="s">
        <v>94</v>
      </c>
      <c r="E41" s="16" t="s">
        <v>95</v>
      </c>
      <c r="F41" s="16" t="n">
        <v>1</v>
      </c>
      <c r="G41" s="17" t="n">
        <f aca="false">SUM(G37:G40)</f>
        <v>1</v>
      </c>
      <c r="H41" s="18" t="n">
        <f aca="false">IF(ISNUMBER(F41),I41/F41,IFERROR("SAR "&amp;TEXT(I41/VALUE(TRIM(MID(F41,FIND("-",F41)+1,20))),"#,##0.00")&amp;" - SAR "&amp;TEXT(I41/VALUE(TRIM(LEFT(F41,FIND("-",F41)-1))),"#,##0.00"),"-"))</f>
        <v>260724.85</v>
      </c>
      <c r="I41" s="18" t="n">
        <f aca="false">ROUND($C$3*C37,2)</f>
        <v>260724.85</v>
      </c>
      <c r="J41" s="18" t="n">
        <f aca="false">ROUND(I41*$C$4,2)</f>
        <v>39108.73</v>
      </c>
      <c r="K41" s="18" t="n">
        <f aca="false">I41+J41</f>
        <v>299833.58</v>
      </c>
      <c r="L41" s="15" t="s">
        <v>96</v>
      </c>
    </row>
    <row r="42" customFormat="false" ht="33.75" hidden="false" customHeight="true" outlineLevel="0" collapsed="false">
      <c r="A42" s="10" t="n">
        <v>12</v>
      </c>
      <c r="B42" s="11" t="s">
        <v>97</v>
      </c>
      <c r="C42" s="12" t="n">
        <v>0.06</v>
      </c>
      <c r="D42" s="13" t="s">
        <v>98</v>
      </c>
      <c r="E42" s="8" t="s">
        <v>19</v>
      </c>
      <c r="F42" s="8" t="n">
        <v>1</v>
      </c>
      <c r="G42" s="7" t="n">
        <v>0.35</v>
      </c>
      <c r="H42" s="14" t="n">
        <f aca="false">IF(ISNUMBER(F42),I42/F42,IFERROR("SAR "&amp;TEXT(I42/VALUE(TRIM(MID(F42,FIND("-",F42)+1,20))),"#,##0.00")&amp;" - SAR "&amp;TEXT(I42/VALUE(TRIM(LEFT(F42,FIND("-",F42)-1))),"#,##0.00"),"-"))</f>
        <v>20055.76</v>
      </c>
      <c r="I42" s="14" t="n">
        <f aca="false">ROUND(I$45*G42,2)</f>
        <v>20055.76</v>
      </c>
      <c r="J42" s="14" t="n">
        <f aca="false">ROUND(I42*$C$4,2)</f>
        <v>3008.36</v>
      </c>
      <c r="K42" s="14" t="n">
        <f aca="false">I42+J42</f>
        <v>23064.12</v>
      </c>
      <c r="L42" s="13" t="s">
        <v>99</v>
      </c>
    </row>
    <row r="43" customFormat="false" ht="33.75" hidden="false" customHeight="true" outlineLevel="0" collapsed="false">
      <c r="A43" s="10"/>
      <c r="B43" s="10"/>
      <c r="C43" s="10"/>
      <c r="D43" s="13" t="s">
        <v>100</v>
      </c>
      <c r="E43" s="8" t="s">
        <v>19</v>
      </c>
      <c r="F43" s="8" t="n">
        <v>1</v>
      </c>
      <c r="G43" s="7" t="n">
        <v>0.4</v>
      </c>
      <c r="H43" s="14" t="n">
        <f aca="false">IF(ISNUMBER(F43),I43/F43,IFERROR("SAR "&amp;TEXT(I43/VALUE(TRIM(MID(F43,FIND("-",F43)+1,20))),"#,##0.00")&amp;" - SAR "&amp;TEXT(I43/VALUE(TRIM(LEFT(F43,FIND("-",F43)-1))),"#,##0.00"),"-"))</f>
        <v>22920.87</v>
      </c>
      <c r="I43" s="14" t="n">
        <f aca="false">ROUND(I$45*G43,2)</f>
        <v>22920.87</v>
      </c>
      <c r="J43" s="14" t="n">
        <f aca="false">ROUND(I43*$C$4,2)</f>
        <v>3438.13</v>
      </c>
      <c r="K43" s="14" t="n">
        <f aca="false">I43+J43</f>
        <v>26359</v>
      </c>
      <c r="L43" s="13" t="s">
        <v>101</v>
      </c>
    </row>
    <row r="44" customFormat="false" ht="33.75" hidden="false" customHeight="true" outlineLevel="0" collapsed="false">
      <c r="A44" s="10"/>
      <c r="B44" s="10"/>
      <c r="C44" s="10"/>
      <c r="D44" s="13" t="s">
        <v>102</v>
      </c>
      <c r="E44" s="8" t="s">
        <v>19</v>
      </c>
      <c r="F44" s="8" t="n">
        <v>1</v>
      </c>
      <c r="G44" s="7" t="n">
        <v>0.25</v>
      </c>
      <c r="H44" s="14" t="n">
        <f aca="false">IF(ISNUMBER(F44),I44/F44,IFERROR("SAR "&amp;TEXT(I44/VALUE(TRIM(MID(F44,FIND("-",F44)+1,20))),"#,##0.00")&amp;" - SAR "&amp;TEXT(I44/VALUE(TRIM(LEFT(F44,FIND("-",F44)-1))),"#,##0.00"),"-"))</f>
        <v>14325.54</v>
      </c>
      <c r="I44" s="14" t="n">
        <f aca="false">I45-SUM(I42:I43)</f>
        <v>14325.54</v>
      </c>
      <c r="J44" s="14" t="n">
        <f aca="false">J45-SUM(J42:J43)</f>
        <v>2148.84</v>
      </c>
      <c r="K44" s="14" t="n">
        <f aca="false">I44+J44</f>
        <v>16474.38</v>
      </c>
      <c r="L44" s="13" t="s">
        <v>103</v>
      </c>
    </row>
    <row r="45" customFormat="false" ht="33.75" hidden="false" customHeight="true" outlineLevel="0" collapsed="false">
      <c r="A45" s="10"/>
      <c r="B45" s="10"/>
      <c r="C45" s="10"/>
      <c r="D45" s="15" t="s">
        <v>104</v>
      </c>
      <c r="E45" s="16" t="s">
        <v>105</v>
      </c>
      <c r="F45" s="16" t="n">
        <v>1</v>
      </c>
      <c r="G45" s="17" t="n">
        <f aca="false">SUM(G42:G44)</f>
        <v>1</v>
      </c>
      <c r="H45" s="18" t="n">
        <f aca="false">IF(ISNUMBER(F45),I45/F45,IFERROR("SAR "&amp;TEXT(I45/VALUE(TRIM(MID(F45,FIND("-",F45)+1,20))),"#,##0.00")&amp;" - SAR "&amp;TEXT(I45/VALUE(TRIM(LEFT(F45,FIND("-",F45)-1))),"#,##0.00"),"-"))</f>
        <v>57302.17</v>
      </c>
      <c r="I45" s="18" t="n">
        <f aca="false">ROUND($C$3*C42,2)</f>
        <v>57302.17</v>
      </c>
      <c r="J45" s="18" t="n">
        <f aca="false">ROUND(I45*$C$4,2)</f>
        <v>8595.33</v>
      </c>
      <c r="K45" s="18" t="n">
        <f aca="false">I45+J45</f>
        <v>65897.5</v>
      </c>
      <c r="L45" s="15" t="s">
        <v>84</v>
      </c>
    </row>
    <row r="46" customFormat="false" ht="33.75" hidden="false" customHeight="true" outlineLevel="0" collapsed="false">
      <c r="A46" s="9" t="s">
        <v>106</v>
      </c>
      <c r="B46" s="9"/>
      <c r="C46" s="19" t="n">
        <f aca="false">SUM(C7:C45)</f>
        <v>1</v>
      </c>
      <c r="D46" s="9"/>
      <c r="E46" s="9"/>
      <c r="F46" s="9"/>
      <c r="G46" s="9"/>
      <c r="H46" s="9"/>
      <c r="I46" s="20" t="n">
        <f aca="false">I11+I14+I16+I21+I23+I25+I27+I30+I32+I36+I41+I45</f>
        <v>955036.08</v>
      </c>
      <c r="J46" s="20" t="n">
        <f aca="false">J11+J14+J16+J21+J23+J25+J27+J30+J32+J36+J41+J45</f>
        <v>143255.43</v>
      </c>
      <c r="K46" s="20" t="n">
        <f aca="false">K11+K14+K16+K21+K23+K25+K27+K30+K32+K36+K41+K45</f>
        <v>1098291.51</v>
      </c>
      <c r="L46" s="21" t="s">
        <v>107</v>
      </c>
    </row>
    <row r="48" customFormat="false" ht="18" hidden="false" customHeight="true" outlineLevel="0" collapsed="false">
      <c r="A48" s="3" t="s">
        <v>108</v>
      </c>
      <c r="B48" s="3"/>
      <c r="C48" s="3"/>
      <c r="D48" s="3"/>
      <c r="E48" s="3"/>
      <c r="F48" s="3"/>
      <c r="G48" s="3"/>
      <c r="H48" s="3"/>
      <c r="I48" s="3"/>
      <c r="J48" s="3"/>
      <c r="K48" s="3"/>
      <c r="L48" s="3"/>
    </row>
    <row r="49" customFormat="false" ht="30" hidden="false" customHeight="true" outlineLevel="0" collapsed="false">
      <c r="A49" s="22" t="s">
        <v>109</v>
      </c>
      <c r="B49" s="22"/>
      <c r="C49" s="22"/>
      <c r="D49" s="22"/>
      <c r="E49" s="22"/>
      <c r="F49" s="22"/>
      <c r="G49" s="22"/>
      <c r="H49" s="22"/>
      <c r="I49" s="22"/>
      <c r="J49" s="22"/>
      <c r="K49" s="22"/>
      <c r="L49" s="22"/>
    </row>
    <row r="50" customFormat="false" ht="30" hidden="false" customHeight="true" outlineLevel="0" collapsed="false">
      <c r="A50" s="22" t="s">
        <v>110</v>
      </c>
      <c r="B50" s="22"/>
      <c r="C50" s="22"/>
      <c r="D50" s="22"/>
      <c r="E50" s="22"/>
      <c r="F50" s="22"/>
      <c r="G50" s="22"/>
      <c r="H50" s="22"/>
      <c r="I50" s="22"/>
      <c r="J50" s="22"/>
      <c r="K50" s="22"/>
      <c r="L50" s="22"/>
    </row>
    <row r="51" customFormat="false" ht="30" hidden="false" customHeight="true" outlineLevel="0" collapsed="false">
      <c r="A51" s="22" t="s">
        <v>111</v>
      </c>
      <c r="B51" s="22"/>
      <c r="C51" s="22"/>
      <c r="D51" s="22"/>
      <c r="E51" s="22"/>
      <c r="F51" s="22"/>
      <c r="G51" s="22"/>
      <c r="H51" s="22"/>
      <c r="I51" s="22"/>
      <c r="J51" s="22"/>
      <c r="K51" s="22"/>
      <c r="L51" s="22"/>
    </row>
    <row r="52" customFormat="false" ht="30" hidden="false" customHeight="true" outlineLevel="0" collapsed="false">
      <c r="A52" s="22" t="s">
        <v>112</v>
      </c>
      <c r="B52" s="22"/>
      <c r="C52" s="22"/>
      <c r="D52" s="22"/>
      <c r="E52" s="22"/>
      <c r="F52" s="22"/>
      <c r="G52" s="22"/>
      <c r="H52" s="22"/>
      <c r="I52" s="22"/>
      <c r="J52" s="22"/>
      <c r="K52" s="22"/>
      <c r="L52" s="22"/>
    </row>
    <row r="53" customFormat="false" ht="30" hidden="false" customHeight="true" outlineLevel="0" collapsed="false">
      <c r="A53" s="22" t="s">
        <v>113</v>
      </c>
      <c r="B53" s="22"/>
      <c r="C53" s="22"/>
      <c r="D53" s="22"/>
      <c r="E53" s="22"/>
      <c r="F53" s="22"/>
      <c r="G53" s="22"/>
      <c r="H53" s="22"/>
      <c r="I53" s="22"/>
      <c r="J53" s="22"/>
      <c r="K53" s="22"/>
      <c r="L53" s="22"/>
    </row>
  </sheetData>
  <mergeCells count="49">
    <mergeCell ref="A1:L1"/>
    <mergeCell ref="A3:B3"/>
    <mergeCell ref="F3:G3"/>
    <mergeCell ref="A4:B4"/>
    <mergeCell ref="F4:G4"/>
    <mergeCell ref="A7:A11"/>
    <mergeCell ref="B7:B11"/>
    <mergeCell ref="C7:C11"/>
    <mergeCell ref="A12:A14"/>
    <mergeCell ref="B12:B14"/>
    <mergeCell ref="C12:C14"/>
    <mergeCell ref="A15:A16"/>
    <mergeCell ref="B15:B16"/>
    <mergeCell ref="C15:C16"/>
    <mergeCell ref="A17:A21"/>
    <mergeCell ref="B17:B21"/>
    <mergeCell ref="C17:C21"/>
    <mergeCell ref="A22:A23"/>
    <mergeCell ref="B22:B23"/>
    <mergeCell ref="C22:C23"/>
    <mergeCell ref="A24:A25"/>
    <mergeCell ref="B24:B25"/>
    <mergeCell ref="C24:C25"/>
    <mergeCell ref="A26:A27"/>
    <mergeCell ref="B26:B27"/>
    <mergeCell ref="C26:C27"/>
    <mergeCell ref="A28:A30"/>
    <mergeCell ref="B28:B30"/>
    <mergeCell ref="C28:C30"/>
    <mergeCell ref="A31:A32"/>
    <mergeCell ref="B31:B32"/>
    <mergeCell ref="C31:C32"/>
    <mergeCell ref="A33:A36"/>
    <mergeCell ref="B33:B36"/>
    <mergeCell ref="C33:C36"/>
    <mergeCell ref="A37:A41"/>
    <mergeCell ref="B37:B41"/>
    <mergeCell ref="C37:C41"/>
    <mergeCell ref="A42:A45"/>
    <mergeCell ref="B42:B45"/>
    <mergeCell ref="C42:C45"/>
    <mergeCell ref="A46:B46"/>
    <mergeCell ref="D46:H46"/>
    <mergeCell ref="A48:L48"/>
    <mergeCell ref="A49:L49"/>
    <mergeCell ref="A50:L50"/>
    <mergeCell ref="A51:L51"/>
    <mergeCell ref="A52:L52"/>
    <mergeCell ref="A53:L53"/>
  </mergeCells>
  <conditionalFormatting sqref="G11">
    <cfRule type="expression" priority="2" aboveAverage="0" equalAverage="0" bottom="0" percent="0" rank="0" text="" dxfId="0">
      <formula>ABS(G11-1)&gt;0.000001</formula>
    </cfRule>
  </conditionalFormatting>
  <conditionalFormatting sqref="G14">
    <cfRule type="expression" priority="3" aboveAverage="0" equalAverage="0" bottom="0" percent="0" rank="0" text="" dxfId="0">
      <formula>ABS(G14-1)&gt;0.000001</formula>
    </cfRule>
  </conditionalFormatting>
  <conditionalFormatting sqref="G16">
    <cfRule type="expression" priority="4" aboveAverage="0" equalAverage="0" bottom="0" percent="0" rank="0" text="" dxfId="0">
      <formula>ABS(G16-1)&gt;0.000001</formula>
    </cfRule>
  </conditionalFormatting>
  <conditionalFormatting sqref="G21">
    <cfRule type="expression" priority="5" aboveAverage="0" equalAverage="0" bottom="0" percent="0" rank="0" text="" dxfId="0">
      <formula>ABS(G21-1)&gt;0.000001</formula>
    </cfRule>
  </conditionalFormatting>
  <conditionalFormatting sqref="G23">
    <cfRule type="expression" priority="6" aboveAverage="0" equalAverage="0" bottom="0" percent="0" rank="0" text="" dxfId="0">
      <formula>ABS(G23-1)&gt;0.000001</formula>
    </cfRule>
  </conditionalFormatting>
  <conditionalFormatting sqref="G25">
    <cfRule type="expression" priority="7" aboveAverage="0" equalAverage="0" bottom="0" percent="0" rank="0" text="" dxfId="0">
      <formula>ABS(G25-1)&gt;0.000001</formula>
    </cfRule>
  </conditionalFormatting>
  <conditionalFormatting sqref="G27">
    <cfRule type="expression" priority="8" aboveAverage="0" equalAverage="0" bottom="0" percent="0" rank="0" text="" dxfId="0">
      <formula>ABS(G27-1)&gt;0.000001</formula>
    </cfRule>
  </conditionalFormatting>
  <conditionalFormatting sqref="G30">
    <cfRule type="expression" priority="9" aboveAverage="0" equalAverage="0" bottom="0" percent="0" rank="0" text="" dxfId="0">
      <formula>ABS(G30-1)&gt;0.000001</formula>
    </cfRule>
  </conditionalFormatting>
  <conditionalFormatting sqref="G32">
    <cfRule type="expression" priority="10" aboveAverage="0" equalAverage="0" bottom="0" percent="0" rank="0" text="" dxfId="0">
      <formula>ABS(G32-1)&gt;0.000001</formula>
    </cfRule>
  </conditionalFormatting>
  <conditionalFormatting sqref="G36">
    <cfRule type="expression" priority="11" aboveAverage="0" equalAverage="0" bottom="0" percent="0" rank="0" text="" dxfId="0">
      <formula>ABS(G36-1)&gt;0.000001</formula>
    </cfRule>
  </conditionalFormatting>
  <conditionalFormatting sqref="G41">
    <cfRule type="expression" priority="12" aboveAverage="0" equalAverage="0" bottom="0" percent="0" rank="0" text="" dxfId="0">
      <formula>ABS(G41-1)&gt;0.000001</formula>
    </cfRule>
  </conditionalFormatting>
  <conditionalFormatting sqref="G45">
    <cfRule type="expression" priority="13" aboveAverage="0" equalAverage="0" bottom="0" percent="0" rank="0" text="" dxfId="0">
      <formula>ABS(G45-1)&gt;0.000001</formula>
    </cfRule>
  </conditionalFormatting>
  <conditionalFormatting sqref="C46">
    <cfRule type="expression" priority="14" aboveAverage="0" equalAverage="0" bottom="0" percent="0" rank="0" text="" dxfId="0">
      <formula>ABS(C46-1)&gt;0.000001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5"/>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12"/>
    <col collapsed="false" customWidth="true" hidden="false" outlineLevel="0" max="4" min="4" style="1" width="18"/>
    <col collapsed="false" customWidth="true" hidden="false" outlineLevel="0" max="5" min="5" style="1" width="12"/>
    <col collapsed="false" customWidth="true" hidden="false" outlineLevel="0" max="6" min="6" style="1" width="18"/>
    <col collapsed="false" customWidth="true" hidden="false" outlineLevel="0" max="7" min="7" style="1" width="16"/>
    <col collapsed="false" customWidth="true" hidden="false" outlineLevel="0" max="8" min="8" style="1" width="12"/>
  </cols>
  <sheetData>
    <row r="1" customFormat="false" ht="17.25" hidden="false" customHeight="true" outlineLevel="0" collapsed="false">
      <c r="A1" s="23" t="s">
        <v>114</v>
      </c>
      <c r="B1" s="23"/>
      <c r="C1" s="23"/>
      <c r="D1" s="23"/>
      <c r="E1" s="23"/>
      <c r="F1" s="23"/>
      <c r="G1" s="23"/>
      <c r="H1" s="23"/>
    </row>
    <row r="3" customFormat="false" ht="15" hidden="false" customHeight="true" outlineLevel="0" collapsed="false">
      <c r="A3" s="3" t="s">
        <v>115</v>
      </c>
      <c r="B3" s="3"/>
      <c r="C3" s="4" t="n">
        <v>1041992.61</v>
      </c>
      <c r="D3" s="4"/>
    </row>
    <row r="5" customFormat="false" ht="31.5" hidden="false" customHeight="true" outlineLevel="0" collapsed="false">
      <c r="A5" s="9" t="s">
        <v>116</v>
      </c>
      <c r="B5" s="9" t="s">
        <v>7</v>
      </c>
      <c r="C5" s="9" t="s">
        <v>117</v>
      </c>
      <c r="D5" s="9" t="s">
        <v>118</v>
      </c>
      <c r="E5" s="9" t="s">
        <v>119</v>
      </c>
      <c r="F5" s="9" t="s">
        <v>120</v>
      </c>
      <c r="G5" s="9" t="s">
        <v>121</v>
      </c>
      <c r="H5" s="9" t="s">
        <v>122</v>
      </c>
    </row>
    <row r="6" customFormat="false" ht="24" hidden="false" customHeight="true" outlineLevel="0" collapsed="false">
      <c r="A6" s="8" t="n">
        <v>1</v>
      </c>
      <c r="B6" s="13" t="s">
        <v>17</v>
      </c>
      <c r="C6" s="24" t="n">
        <v>0.05</v>
      </c>
      <c r="D6" s="14" t="n">
        <f aca="false">ROUND($C$3*C6,2)</f>
        <v>52099.63</v>
      </c>
      <c r="E6" s="25" t="n">
        <f aca="false">'جدول الكميات'!C7</f>
        <v>0.05</v>
      </c>
      <c r="F6" s="26" t="n">
        <f aca="false">'جدول الكميات'!I11</f>
        <v>47751.8</v>
      </c>
      <c r="G6" s="14" t="n">
        <f aca="false">F6-D6</f>
        <v>-4347.82999999999</v>
      </c>
      <c r="H6" s="27" t="n">
        <f aca="false">IF(D6=0,0,G6/D6)</f>
        <v>-0.0834522241328776</v>
      </c>
    </row>
    <row r="7" customFormat="false" ht="24" hidden="false" customHeight="true" outlineLevel="0" collapsed="false">
      <c r="A7" s="8" t="n">
        <v>2</v>
      </c>
      <c r="B7" s="13" t="s">
        <v>29</v>
      </c>
      <c r="C7" s="24" t="n">
        <v>0.06</v>
      </c>
      <c r="D7" s="14" t="n">
        <f aca="false">ROUND($C$3*C7,2)</f>
        <v>62519.56</v>
      </c>
      <c r="E7" s="25" t="n">
        <f aca="false">'جدول الكميات'!C12</f>
        <v>0.05</v>
      </c>
      <c r="F7" s="26" t="n">
        <f aca="false">'جدول الكميات'!I14</f>
        <v>47751.8</v>
      </c>
      <c r="G7" s="14" t="n">
        <f aca="false">F7-D7</f>
        <v>-14767.76</v>
      </c>
      <c r="H7" s="27" t="n">
        <f aca="false">IF(D7=0,0,G7/D7)</f>
        <v>-0.236210235644653</v>
      </c>
    </row>
    <row r="8" customFormat="false" ht="24" hidden="false" customHeight="true" outlineLevel="0" collapsed="false">
      <c r="A8" s="8" t="n">
        <v>3</v>
      </c>
      <c r="B8" s="13" t="s">
        <v>35</v>
      </c>
      <c r="C8" s="24" t="n">
        <v>0.03</v>
      </c>
      <c r="D8" s="14" t="n">
        <f aca="false">ROUND($C$3*C8,2)</f>
        <v>31259.78</v>
      </c>
      <c r="E8" s="25" t="n">
        <f aca="false">'جدول الكميات'!C15</f>
        <v>0.03</v>
      </c>
      <c r="F8" s="26" t="n">
        <f aca="false">'جدول الكميات'!I16</f>
        <v>28651.08</v>
      </c>
      <c r="G8" s="14" t="n">
        <f aca="false">F8-D8</f>
        <v>-2608.7</v>
      </c>
      <c r="H8" s="27" t="n">
        <f aca="false">IF(D8=0,0,G8/D8)</f>
        <v>-0.0834522827735831</v>
      </c>
    </row>
    <row r="9" customFormat="false" ht="24" hidden="false" customHeight="true" outlineLevel="0" collapsed="false">
      <c r="A9" s="8" t="n">
        <v>4</v>
      </c>
      <c r="B9" s="13" t="s">
        <v>40</v>
      </c>
      <c r="C9" s="24" t="n">
        <v>0.14</v>
      </c>
      <c r="D9" s="14" t="n">
        <f aca="false">ROUND($C$3*C9,2)</f>
        <v>145878.97</v>
      </c>
      <c r="E9" s="25" t="n">
        <f aca="false">'جدول الكميات'!C17</f>
        <v>0.18</v>
      </c>
      <c r="F9" s="26" t="n">
        <f aca="false">'جدول الكميات'!I21</f>
        <v>171906.5</v>
      </c>
      <c r="G9" s="14" t="n">
        <f aca="false">F9-D9</f>
        <v>26027.53</v>
      </c>
      <c r="H9" s="27" t="n">
        <f aca="false">IF(D9=0,0,G9/D9)</f>
        <v>0.178418657603629</v>
      </c>
    </row>
    <row r="10" customFormat="false" ht="24" hidden="false" customHeight="true" outlineLevel="0" collapsed="false">
      <c r="A10" s="8" t="n">
        <v>5</v>
      </c>
      <c r="B10" s="13" t="s">
        <v>51</v>
      </c>
      <c r="C10" s="24" t="n">
        <v>0.02</v>
      </c>
      <c r="D10" s="14" t="n">
        <f aca="false">ROUND($C$3*C10,2)</f>
        <v>20839.85</v>
      </c>
      <c r="E10" s="25" t="n">
        <f aca="false">'جدول الكميات'!C22</f>
        <v>0.02</v>
      </c>
      <c r="F10" s="26" t="n">
        <f aca="false">'جدول الكميات'!I23</f>
        <v>19100.72</v>
      </c>
      <c r="G10" s="14" t="n">
        <f aca="false">F10-D10</f>
        <v>-1739.13</v>
      </c>
      <c r="H10" s="27" t="n">
        <f aca="false">IF(D10=0,0,G10/D10)</f>
        <v>-0.0834521361718053</v>
      </c>
    </row>
    <row r="11" customFormat="false" ht="24" hidden="false" customHeight="true" outlineLevel="0" collapsed="false">
      <c r="A11" s="8" t="n">
        <v>6</v>
      </c>
      <c r="B11" s="13" t="s">
        <v>55</v>
      </c>
      <c r="C11" s="24" t="n">
        <v>0.1</v>
      </c>
      <c r="D11" s="14" t="n">
        <f aca="false">ROUND($C$3*C11,2)</f>
        <v>104199.26</v>
      </c>
      <c r="E11" s="25" t="n">
        <f aca="false">'جدول الكميات'!C24</f>
        <v>0.1</v>
      </c>
      <c r="F11" s="26" t="n">
        <f aca="false">'جدول الكميات'!I25</f>
        <v>95503.61</v>
      </c>
      <c r="G11" s="14" t="n">
        <f aca="false">F11-D11</f>
        <v>-8695.64999999999</v>
      </c>
      <c r="H11" s="27" t="n">
        <f aca="false">IF(D11=0,0,G11/D11)</f>
        <v>-0.0834521281629063</v>
      </c>
    </row>
    <row r="12" customFormat="false" ht="24" hidden="false" customHeight="true" outlineLevel="0" collapsed="false">
      <c r="A12" s="8" t="n">
        <v>7</v>
      </c>
      <c r="B12" s="13" t="s">
        <v>59</v>
      </c>
      <c r="C12" s="24" t="n">
        <v>0.02</v>
      </c>
      <c r="D12" s="14" t="n">
        <f aca="false">ROUND($C$3*C12,2)</f>
        <v>20839.85</v>
      </c>
      <c r="E12" s="25" t="n">
        <f aca="false">'جدول الكميات'!C26</f>
        <v>0.05</v>
      </c>
      <c r="F12" s="26" t="n">
        <f aca="false">'جدول الكميات'!I27</f>
        <v>47751.8</v>
      </c>
      <c r="G12" s="14" t="n">
        <f aca="false">F12-D12</f>
        <v>26911.95</v>
      </c>
      <c r="H12" s="27" t="n">
        <f aca="false">IF(D12=0,0,G12/D12)</f>
        <v>1.29136965957049</v>
      </c>
    </row>
    <row r="13" customFormat="false" ht="24" hidden="false" customHeight="true" outlineLevel="0" collapsed="false">
      <c r="A13" s="8" t="n">
        <v>8</v>
      </c>
      <c r="B13" s="13" t="s">
        <v>63</v>
      </c>
      <c r="C13" s="24" t="n">
        <v>0.1</v>
      </c>
      <c r="D13" s="14" t="n">
        <f aca="false">ROUND($C$3*C13,2)</f>
        <v>104199.26</v>
      </c>
      <c r="E13" s="25" t="n">
        <f aca="false">'جدول الكميات'!C28</f>
        <v>0.107</v>
      </c>
      <c r="F13" s="26" t="n">
        <f aca="false">'جدول الكميات'!I30</f>
        <v>102188.86</v>
      </c>
      <c r="G13" s="14" t="n">
        <f aca="false">F13-D13</f>
        <v>-2010.39999999999</v>
      </c>
      <c r="H13" s="27" t="n">
        <f aca="false">IF(D13=0,0,G13/D13)</f>
        <v>-0.019293803046202</v>
      </c>
    </row>
    <row r="14" customFormat="false" ht="24" hidden="false" customHeight="true" outlineLevel="0" collapsed="false">
      <c r="A14" s="28" t="n">
        <v>9</v>
      </c>
      <c r="B14" s="29" t="s">
        <v>72</v>
      </c>
      <c r="C14" s="30" t="n">
        <v>0.07</v>
      </c>
      <c r="D14" s="31" t="n">
        <f aca="false">ROUND($C$3*C14,2)</f>
        <v>72939.48</v>
      </c>
      <c r="E14" s="32" t="n">
        <f aca="false">'جدول الكميات'!C31</f>
        <v>0.02</v>
      </c>
      <c r="F14" s="33" t="n">
        <f aca="false">'جدول الكميات'!I32</f>
        <v>19100.72</v>
      </c>
      <c r="G14" s="31" t="n">
        <f aca="false">F14-D14</f>
        <v>-53838.76</v>
      </c>
      <c r="H14" s="34" t="n">
        <f aca="false">IF(D14=0,0,G14/D14)</f>
        <v>-0.738129199714613</v>
      </c>
    </row>
    <row r="15" customFormat="false" ht="24" hidden="false" customHeight="true" outlineLevel="0" collapsed="false">
      <c r="A15" s="28" t="n">
        <v>10</v>
      </c>
      <c r="B15" s="29" t="s">
        <v>75</v>
      </c>
      <c r="C15" s="30" t="n">
        <v>0.15</v>
      </c>
      <c r="D15" s="31" t="n">
        <f aca="false">ROUND($C$3*C15,2)</f>
        <v>156298.89</v>
      </c>
      <c r="E15" s="32" t="n">
        <f aca="false">'جدول الكميات'!C33</f>
        <v>0.06</v>
      </c>
      <c r="F15" s="33" t="n">
        <f aca="false">'جدول الكميات'!I36</f>
        <v>57302.17</v>
      </c>
      <c r="G15" s="31" t="n">
        <f aca="false">F15-D15</f>
        <v>-98996.72</v>
      </c>
      <c r="H15" s="34" t="n">
        <f aca="false">IF(D15=0,0,G15/D15)</f>
        <v>-0.63338082567317</v>
      </c>
    </row>
    <row r="16" customFormat="false" ht="24" hidden="false" customHeight="true" outlineLevel="0" collapsed="false">
      <c r="A16" s="35" t="n">
        <v>11</v>
      </c>
      <c r="B16" s="36" t="s">
        <v>85</v>
      </c>
      <c r="C16" s="37" t="n">
        <v>0.2</v>
      </c>
      <c r="D16" s="38" t="n">
        <f aca="false">ROUND($C$3*C16,2)</f>
        <v>208398.52</v>
      </c>
      <c r="E16" s="39" t="n">
        <f aca="false">'جدول الكميات'!C37</f>
        <v>0.273</v>
      </c>
      <c r="F16" s="40" t="n">
        <f aca="false">'جدول الكميات'!I41</f>
        <v>260724.85</v>
      </c>
      <c r="G16" s="38" t="n">
        <f aca="false">F16-D16</f>
        <v>52326.33</v>
      </c>
      <c r="H16" s="41" t="n">
        <f aca="false">IF(D16=0,0,G16/D16)</f>
        <v>0.251087819625591</v>
      </c>
    </row>
    <row r="17" customFormat="false" ht="24" hidden="false" customHeight="true" outlineLevel="0" collapsed="false">
      <c r="A17" s="8" t="n">
        <v>12</v>
      </c>
      <c r="B17" s="13" t="s">
        <v>97</v>
      </c>
      <c r="C17" s="24" t="n">
        <v>0.06</v>
      </c>
      <c r="D17" s="14" t="n">
        <f aca="false">ROUND($C$3*C17,2)</f>
        <v>62519.56</v>
      </c>
      <c r="E17" s="25" t="n">
        <f aca="false">'جدول الكميات'!C42</f>
        <v>0.06</v>
      </c>
      <c r="F17" s="26" t="n">
        <f aca="false">'جدول الكميات'!I45</f>
        <v>57302.17</v>
      </c>
      <c r="G17" s="14" t="n">
        <f aca="false">F17-D17</f>
        <v>-5217.39</v>
      </c>
      <c r="H17" s="27" t="n">
        <f aca="false">IF(D17=0,0,G17/D17)</f>
        <v>-0.0834521228236411</v>
      </c>
    </row>
    <row r="18" customFormat="false" ht="25.5" hidden="false" customHeight="true" outlineLevel="0" collapsed="false">
      <c r="A18" s="9" t="s">
        <v>123</v>
      </c>
      <c r="B18" s="9"/>
      <c r="C18" s="19" t="n">
        <f aca="false">SUM(C6:C17)</f>
        <v>1</v>
      </c>
      <c r="D18" s="20" t="n">
        <f aca="false">SUM(D6:D17)</f>
        <v>1041992.61</v>
      </c>
      <c r="E18" s="19" t="n">
        <f aca="false">SUM(E6:E17)</f>
        <v>1</v>
      </c>
      <c r="F18" s="20" t="n">
        <f aca="false">SUM(F6:F17)</f>
        <v>955036.08</v>
      </c>
      <c r="G18" s="20" t="n">
        <f aca="false">SUM(G6:G17)</f>
        <v>-86956.53</v>
      </c>
      <c r="H18" s="19" t="n">
        <f aca="false">IF(D18=0,0,G18/D18)</f>
        <v>-0.0834521561530076</v>
      </c>
    </row>
    <row r="19" customFormat="false" ht="25.5" hidden="false" customHeight="true" outlineLevel="0" collapsed="false">
      <c r="A19" s="9" t="s">
        <v>124</v>
      </c>
      <c r="B19" s="9"/>
      <c r="C19" s="9"/>
      <c r="D19" s="20" t="n">
        <f aca="false">SUMPRODUCT(ROUND(D6:D17*'جدول الكميات'!$C$4,2))</f>
        <v>156298.89</v>
      </c>
      <c r="E19" s="19"/>
      <c r="F19" s="20" t="n">
        <f aca="false">'جدول الكميات'!J46</f>
        <v>143255.43</v>
      </c>
      <c r="G19" s="20" t="n">
        <f aca="false">F19-D19</f>
        <v>-13043.46</v>
      </c>
      <c r="H19" s="19" t="n">
        <f aca="false">IF(D19=0,0,G19/D19)</f>
        <v>-0.0834520321929349</v>
      </c>
    </row>
    <row r="20" customFormat="false" ht="25.5" hidden="false" customHeight="true" outlineLevel="0" collapsed="false">
      <c r="A20" s="9" t="s">
        <v>15</v>
      </c>
      <c r="B20" s="9"/>
      <c r="C20" s="9"/>
      <c r="D20" s="20" t="n">
        <f aca="false">D18+D19</f>
        <v>1198291.5</v>
      </c>
      <c r="E20" s="19"/>
      <c r="F20" s="20" t="n">
        <f aca="false">'جدول الكميات'!K46</f>
        <v>1098291.51</v>
      </c>
      <c r="G20" s="20" t="n">
        <f aca="false">F20-D20</f>
        <v>-99999.99</v>
      </c>
      <c r="H20" s="19" t="n">
        <f aca="false">IF(D20=0,0,G20/D20)</f>
        <v>-0.0834521399843027</v>
      </c>
    </row>
    <row r="22" customFormat="false" ht="15" hidden="false" customHeight="true" outlineLevel="0" collapsed="false">
      <c r="A22" s="3" t="s">
        <v>108</v>
      </c>
      <c r="B22" s="3"/>
      <c r="C22" s="3"/>
      <c r="D22" s="3"/>
      <c r="E22" s="3"/>
      <c r="F22" s="3"/>
      <c r="G22" s="3"/>
      <c r="H22" s="3"/>
    </row>
    <row r="23" customFormat="false" ht="15" hidden="false" customHeight="true" outlineLevel="0" collapsed="false">
      <c r="A23" s="22" t="s">
        <v>125</v>
      </c>
      <c r="B23" s="22"/>
      <c r="C23" s="22"/>
      <c r="D23" s="22"/>
      <c r="E23" s="22"/>
      <c r="F23" s="22"/>
      <c r="G23" s="22"/>
      <c r="H23" s="22"/>
    </row>
    <row r="24" customFormat="false" ht="15" hidden="false" customHeight="true" outlineLevel="0" collapsed="false">
      <c r="A24" s="22" t="s">
        <v>126</v>
      </c>
      <c r="B24" s="22"/>
      <c r="C24" s="22"/>
      <c r="D24" s="22"/>
      <c r="E24" s="22"/>
      <c r="F24" s="22"/>
      <c r="G24" s="22"/>
      <c r="H24" s="22"/>
    </row>
    <row r="25" customFormat="false" ht="15" hidden="false" customHeight="true" outlineLevel="0" collapsed="false">
      <c r="A25" s="22" t="s">
        <v>127</v>
      </c>
      <c r="B25" s="22"/>
      <c r="C25" s="22"/>
      <c r="D25" s="22"/>
      <c r="E25" s="22"/>
      <c r="F25" s="22"/>
      <c r="G25" s="22"/>
      <c r="H25" s="22"/>
    </row>
  </sheetData>
  <mergeCells count="10">
    <mergeCell ref="A1:H1"/>
    <mergeCell ref="A3:B3"/>
    <mergeCell ref="C3:D3"/>
    <mergeCell ref="A18:B18"/>
    <mergeCell ref="A19:C19"/>
    <mergeCell ref="A20:C20"/>
    <mergeCell ref="A22:H22"/>
    <mergeCell ref="A23:H23"/>
    <mergeCell ref="A24:H24"/>
    <mergeCell ref="A25:H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2026-10-08T12:13:04Z</dcterms:created>
  <dc:creator>openpyxl</dc:creator>
  <dc:description/>
  <dc:language>en-US</dc:language>
  <cp:lastModifiedBy>Saleh Samir Abu Alnaja</cp:lastModifiedBy>
  <dcterms:modified xsi:type="dcterms:W3CDTF">2026-10-08T12:34:23Z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